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emilio/Desktop/"/>
    </mc:Choice>
  </mc:AlternateContent>
  <xr:revisionPtr revIDLastSave="0" documentId="13_ncr:1_{AB8F5C0B-7199-B94C-B4A0-CB21B1567997}" xr6:coauthVersionLast="47" xr6:coauthVersionMax="47" xr10:uidLastSave="{00000000-0000-0000-0000-000000000000}"/>
  <bookViews>
    <workbookView xWindow="0" yWindow="0" windowWidth="38400" windowHeight="21600" activeTab="7" xr2:uid="{BD7D6303-540E-6747-AAF0-F4174927C7C3}"/>
  </bookViews>
  <sheets>
    <sheet name="SW" sheetId="1" r:id="rId1"/>
    <sheet name="PKG" sheetId="3" r:id="rId2"/>
    <sheet name="IP" sheetId="4" r:id="rId3"/>
    <sheet name="GPI" sheetId="5" r:id="rId4"/>
    <sheet name="SK" sheetId="6" r:id="rId5"/>
    <sheet name="WK" sheetId="7" r:id="rId6"/>
    <sheet name="Market Cap" sheetId="8" r:id="rId7"/>
    <sheet name="SW (2)" sheetId="9" r:id="rId8"/>
  </sheets>
  <definedNames>
    <definedName name="Slicer_Company">#N/A</definedName>
    <definedName name="Slicer_Pilar">#N/A</definedName>
    <definedName name="Slicer_Pilar2">#N/A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7" l="1"/>
  <c r="A4" i="6"/>
  <c r="A4" i="5"/>
  <c r="A4" i="4"/>
  <c r="A4" i="3"/>
  <c r="A4" i="1"/>
</calcChain>
</file>

<file path=xl/sharedStrings.xml><?xml version="1.0" encoding="utf-8"?>
<sst xmlns="http://schemas.openxmlformats.org/spreadsheetml/2006/main" count="805" uniqueCount="65">
  <si>
    <t>Data</t>
  </si>
  <si>
    <t>Latest</t>
  </si>
  <si>
    <t>ESG Score</t>
  </si>
  <si>
    <t>Metric</t>
  </si>
  <si>
    <t>Environmental</t>
  </si>
  <si>
    <t>Energy Management</t>
  </si>
  <si>
    <t>Environmental Supply Chain Mgmt.</t>
  </si>
  <si>
    <t>Sustainable Product</t>
  </si>
  <si>
    <t>Air Quality</t>
  </si>
  <si>
    <t>GHG Emissions Mgmt.</t>
  </si>
  <si>
    <t>Waste Management</t>
  </si>
  <si>
    <t>Water Management</t>
  </si>
  <si>
    <t>Biodiversity &amp; Natural Capita</t>
  </si>
  <si>
    <t>Climate Exposure</t>
  </si>
  <si>
    <t>Social</t>
  </si>
  <si>
    <t>Product Quality Management</t>
  </si>
  <si>
    <t>OH&amp;S Mgmt.</t>
  </si>
  <si>
    <t>Ethics &amp; Compliance</t>
  </si>
  <si>
    <t>Governance</t>
  </si>
  <si>
    <t>Board Composition</t>
  </si>
  <si>
    <t>Executive Compensation</t>
  </si>
  <si>
    <t>Shareholder Rights</t>
  </si>
  <si>
    <t>Audit</t>
  </si>
  <si>
    <t>Weight</t>
  </si>
  <si>
    <t>Disclosure</t>
  </si>
  <si>
    <t>Peer Rank</t>
  </si>
  <si>
    <t>Score</t>
  </si>
  <si>
    <t>E</t>
  </si>
  <si>
    <t>S</t>
  </si>
  <si>
    <t>G</t>
  </si>
  <si>
    <t>Above Median</t>
  </si>
  <si>
    <t>Below Median</t>
  </si>
  <si>
    <t>Lagging</t>
  </si>
  <si>
    <t>Median</t>
  </si>
  <si>
    <t>Leading</t>
  </si>
  <si>
    <t>Smurfit Westrock</t>
  </si>
  <si>
    <t>SW</t>
  </si>
  <si>
    <t>Packaging Corporation of America</t>
  </si>
  <si>
    <t>PKG</t>
  </si>
  <si>
    <t>IP</t>
  </si>
  <si>
    <t>International Paper</t>
  </si>
  <si>
    <t>GPK</t>
  </si>
  <si>
    <t>Graphic Packaging</t>
  </si>
  <si>
    <t>Smurfit Kappa Group</t>
  </si>
  <si>
    <t>SKG</t>
  </si>
  <si>
    <t>WRK</t>
  </si>
  <si>
    <t>Westrock Company</t>
  </si>
  <si>
    <t>SMURFIT WESTROCK</t>
  </si>
  <si>
    <t>PACKAGING CORP</t>
  </si>
  <si>
    <t>INTL PAPER CO</t>
  </si>
  <si>
    <t>GRAPHIC PACKAGIN</t>
  </si>
  <si>
    <t>Tick</t>
  </si>
  <si>
    <t>Name</t>
  </si>
  <si>
    <t>Market Capital</t>
  </si>
  <si>
    <t>GPI</t>
  </si>
  <si>
    <t>SK</t>
  </si>
  <si>
    <t>WK</t>
  </si>
  <si>
    <t>Company</t>
  </si>
  <si>
    <t>Pilar</t>
  </si>
  <si>
    <t>Column Labels</t>
  </si>
  <si>
    <t>Grand Total</t>
  </si>
  <si>
    <t>Row Labels</t>
  </si>
  <si>
    <t>Sum of Score</t>
  </si>
  <si>
    <t>ESG</t>
  </si>
  <si>
    <t>Pilar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</si>
</sst>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2"/>
      <color theme="1"/>
      <name val="Aptos Narrow"/>
      <family val="2"/>
      <scheme val="minor"/>
    </font>
    <font>
      <sz val="18"/>
      <color theme="1"/>
      <name val="Aptos Narrow"/>
      <family val="2"/>
      <scheme val="minor"/>
    </font>
    <font>
      <b/>
      <sz val="18"/>
      <color theme="1"/>
      <name val="Aptos Narrow"/>
      <scheme val="minor"/>
    </font>
    <font>
      <b/>
      <sz val="20"/>
      <color theme="1"/>
      <name val="Aptos Narrow"/>
      <scheme val="minor"/>
    </font>
    <font>
      <b/>
      <sz val="16"/>
      <color theme="1"/>
      <name val="Aptos Narrow"/>
      <scheme val="minor"/>
    </font>
    <font>
      <b/>
      <sz val="12"/>
      <color theme="1"/>
      <name val="Aptos Narrow"/>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1" xfId="0" applyBorder="1"/>
    <xf numFmtId="9" fontId="0" fillId="0" borderId="1" xfId="0" applyNumberFormat="1" applyBorder="1"/>
    <xf numFmtId="10" fontId="0" fillId="0" borderId="1" xfId="0" applyNumberFormat="1" applyBorder="1"/>
    <xf numFmtId="0" fontId="0" fillId="2" borderId="1" xfId="0" applyFill="1" applyBorder="1"/>
    <xf numFmtId="0" fontId="0" fillId="4" borderId="1" xfId="0" applyFill="1" applyBorder="1" applyAlignment="1">
      <alignment horizontal="center"/>
    </xf>
    <xf numFmtId="0" fontId="0" fillId="4" borderId="1" xfId="0" applyFill="1" applyBorder="1"/>
    <xf numFmtId="0" fontId="1" fillId="3" borderId="1" xfId="0" applyFont="1" applyFill="1" applyBorder="1"/>
    <xf numFmtId="0" fontId="2" fillId="0" borderId="1" xfId="0" applyFont="1" applyBorder="1"/>
    <xf numFmtId="0" fontId="3" fillId="2" borderId="1" xfId="0" applyFont="1" applyFill="1" applyBorder="1"/>
    <xf numFmtId="0" fontId="0" fillId="2" borderId="1" xfId="0" applyFill="1" applyBorder="1" applyAlignment="1">
      <alignment horizontal="center" vertical="center" textRotation="90"/>
    </xf>
    <xf numFmtId="0" fontId="0" fillId="2" borderId="1" xfId="0" applyFill="1" applyBorder="1" applyAlignment="1">
      <alignment horizontal="center" vertical="center"/>
    </xf>
    <xf numFmtId="164" fontId="1" fillId="3" borderId="1" xfId="0" applyNumberFormat="1" applyFont="1" applyFill="1" applyBorder="1" applyAlignment="1">
      <alignment horizontal="center"/>
    </xf>
    <xf numFmtId="0" fontId="3" fillId="2" borderId="1" xfId="0" applyFont="1" applyFill="1" applyBorder="1" applyAlignment="1">
      <alignment horizontal="center"/>
    </xf>
    <xf numFmtId="0" fontId="1" fillId="3" borderId="1" xfId="0"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vertical="center" textRotation="90" wrapText="1"/>
    </xf>
    <xf numFmtId="0" fontId="4" fillId="2" borderId="1" xfId="0" applyFont="1" applyFill="1" applyBorder="1" applyAlignment="1">
      <alignment horizontal="center"/>
    </xf>
    <xf numFmtId="164" fontId="0" fillId="0" borderId="1" xfId="0" applyNumberFormat="1" applyBorder="1"/>
    <xf numFmtId="0" fontId="5"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[P2P Review.xlsx]SW (2)!PivotTable2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'SW (2)'!$K$1:$K$2</c:f>
              <c:strCache>
                <c:ptCount val="1"/>
                <c:pt idx="0">
                  <c:v>GPI</c:v>
                </c:pt>
              </c:strCache>
            </c:strRef>
          </c:tx>
          <c:spPr>
            <a:solidFill>
              <a:schemeClr val="accent1"/>
            </a:solidFill>
            <a:ln>
              <a:noFill/>
            </a:ln>
            <a:effectLst/>
          </c:spPr>
          <c:invertIfNegative val="0"/>
          <c:cat>
            <c:multiLvlStrRef>
              <c:f>'SW (2)'!$J$3:$J$5</c:f>
              <c:multiLvlStrCache>
                <c:ptCount val="1"/>
                <c:lvl>
                  <c:pt idx="0">
                    <c:v>Energy Management</c:v>
                  </c:pt>
                </c:lvl>
                <c:lvl>
                  <c:pt idx="0">
                    <c:v>Environmental</c:v>
                  </c:pt>
                </c:lvl>
              </c:multiLvlStrCache>
            </c:multiLvlStrRef>
          </c:cat>
          <c:val>
            <c:numRef>
              <c:f>'SW (2)'!$K$3:$K$5</c:f>
              <c:numCache>
                <c:formatCode>General</c:formatCode>
                <c:ptCount val="1"/>
                <c:pt idx="0">
                  <c:v>6.86</c:v>
                </c:pt>
              </c:numCache>
            </c:numRef>
          </c:val>
          <c:extLst>
            <c:ext xmlns:c16="http://schemas.microsoft.com/office/drawing/2014/chart" uri="{C3380CC4-5D6E-409C-BE32-E72D297353CC}">
              <c16:uniqueId val="{00000000-1ABC-D245-B7E8-5D185813CF10}"/>
            </c:ext>
          </c:extLst>
        </c:ser>
        <c:ser>
          <c:idx val="1"/>
          <c:order val="1"/>
          <c:tx>
            <c:strRef>
              <c:f>'SW (2)'!$L$1:$L$2</c:f>
              <c:strCache>
                <c:ptCount val="1"/>
                <c:pt idx="0">
                  <c:v>IP</c:v>
                </c:pt>
              </c:strCache>
            </c:strRef>
          </c:tx>
          <c:spPr>
            <a:solidFill>
              <a:schemeClr val="accent2"/>
            </a:solidFill>
            <a:ln>
              <a:noFill/>
            </a:ln>
            <a:effectLst/>
          </c:spPr>
          <c:invertIfNegative val="0"/>
          <c:cat>
            <c:multiLvlStrRef>
              <c:f>'SW (2)'!$J$3:$J$5</c:f>
              <c:multiLvlStrCache>
                <c:ptCount val="1"/>
                <c:lvl>
                  <c:pt idx="0">
                    <c:v>Energy Management</c:v>
                  </c:pt>
                </c:lvl>
                <c:lvl>
                  <c:pt idx="0">
                    <c:v>Environmental</c:v>
                  </c:pt>
                </c:lvl>
              </c:multiLvlStrCache>
            </c:multiLvlStrRef>
          </c:cat>
          <c:val>
            <c:numRef>
              <c:f>'SW (2)'!$L$3:$L$5</c:f>
              <c:numCache>
                <c:formatCode>General</c:formatCode>
                <c:ptCount val="1"/>
                <c:pt idx="0">
                  <c:v>6.16</c:v>
                </c:pt>
              </c:numCache>
            </c:numRef>
          </c:val>
          <c:extLst>
            <c:ext xmlns:c16="http://schemas.microsoft.com/office/drawing/2014/chart" uri="{C3380CC4-5D6E-409C-BE32-E72D297353CC}">
              <c16:uniqueId val="{0000000E-1ABC-D245-B7E8-5D185813CF10}"/>
            </c:ext>
          </c:extLst>
        </c:ser>
        <c:ser>
          <c:idx val="2"/>
          <c:order val="2"/>
          <c:tx>
            <c:strRef>
              <c:f>'SW (2)'!$M$1:$M$2</c:f>
              <c:strCache>
                <c:ptCount val="1"/>
                <c:pt idx="0">
                  <c:v>PKG</c:v>
                </c:pt>
              </c:strCache>
            </c:strRef>
          </c:tx>
          <c:spPr>
            <a:solidFill>
              <a:schemeClr val="accent3"/>
            </a:solidFill>
            <a:ln>
              <a:noFill/>
            </a:ln>
            <a:effectLst/>
          </c:spPr>
          <c:invertIfNegative val="0"/>
          <c:cat>
            <c:multiLvlStrRef>
              <c:f>'SW (2)'!$J$3:$J$5</c:f>
              <c:multiLvlStrCache>
                <c:ptCount val="1"/>
                <c:lvl>
                  <c:pt idx="0">
                    <c:v>Energy Management</c:v>
                  </c:pt>
                </c:lvl>
                <c:lvl>
                  <c:pt idx="0">
                    <c:v>Environmental</c:v>
                  </c:pt>
                </c:lvl>
              </c:multiLvlStrCache>
            </c:multiLvlStrRef>
          </c:cat>
          <c:val>
            <c:numRef>
              <c:f>'SW (2)'!$M$3:$M$5</c:f>
              <c:numCache>
                <c:formatCode>General</c:formatCode>
                <c:ptCount val="1"/>
                <c:pt idx="0">
                  <c:v>6.37</c:v>
                </c:pt>
              </c:numCache>
            </c:numRef>
          </c:val>
          <c:extLst>
            <c:ext xmlns:c16="http://schemas.microsoft.com/office/drawing/2014/chart" uri="{C3380CC4-5D6E-409C-BE32-E72D297353CC}">
              <c16:uniqueId val="{0000000F-1ABC-D245-B7E8-5D185813CF10}"/>
            </c:ext>
          </c:extLst>
        </c:ser>
        <c:ser>
          <c:idx val="3"/>
          <c:order val="3"/>
          <c:tx>
            <c:strRef>
              <c:f>'SW (2)'!$N$1:$N$2</c:f>
              <c:strCache>
                <c:ptCount val="1"/>
                <c:pt idx="0">
                  <c:v>SK</c:v>
                </c:pt>
              </c:strCache>
            </c:strRef>
          </c:tx>
          <c:spPr>
            <a:solidFill>
              <a:schemeClr val="accent4"/>
            </a:solidFill>
            <a:ln>
              <a:noFill/>
            </a:ln>
            <a:effectLst/>
          </c:spPr>
          <c:invertIfNegative val="0"/>
          <c:cat>
            <c:multiLvlStrRef>
              <c:f>'SW (2)'!$J$3:$J$5</c:f>
              <c:multiLvlStrCache>
                <c:ptCount val="1"/>
                <c:lvl>
                  <c:pt idx="0">
                    <c:v>Energy Management</c:v>
                  </c:pt>
                </c:lvl>
                <c:lvl>
                  <c:pt idx="0">
                    <c:v>Environmental</c:v>
                  </c:pt>
                </c:lvl>
              </c:multiLvlStrCache>
            </c:multiLvlStrRef>
          </c:cat>
          <c:val>
            <c:numRef>
              <c:f>'SW (2)'!$N$3:$N$5</c:f>
              <c:numCache>
                <c:formatCode>General</c:formatCode>
                <c:ptCount val="1"/>
                <c:pt idx="0">
                  <c:v>6.83</c:v>
                </c:pt>
              </c:numCache>
            </c:numRef>
          </c:val>
          <c:extLst>
            <c:ext xmlns:c16="http://schemas.microsoft.com/office/drawing/2014/chart" uri="{C3380CC4-5D6E-409C-BE32-E72D297353CC}">
              <c16:uniqueId val="{00000010-1ABC-D245-B7E8-5D185813CF10}"/>
            </c:ext>
          </c:extLst>
        </c:ser>
        <c:ser>
          <c:idx val="4"/>
          <c:order val="4"/>
          <c:tx>
            <c:strRef>
              <c:f>'SW (2)'!$O$1:$O$2</c:f>
              <c:strCache>
                <c:ptCount val="1"/>
                <c:pt idx="0">
                  <c:v>SW</c:v>
                </c:pt>
              </c:strCache>
            </c:strRef>
          </c:tx>
          <c:spPr>
            <a:solidFill>
              <a:schemeClr val="accent5"/>
            </a:solidFill>
            <a:ln>
              <a:noFill/>
            </a:ln>
            <a:effectLst/>
          </c:spPr>
          <c:invertIfNegative val="0"/>
          <c:cat>
            <c:multiLvlStrRef>
              <c:f>'SW (2)'!$J$3:$J$5</c:f>
              <c:multiLvlStrCache>
                <c:ptCount val="1"/>
                <c:lvl>
                  <c:pt idx="0">
                    <c:v>Energy Management</c:v>
                  </c:pt>
                </c:lvl>
                <c:lvl>
                  <c:pt idx="0">
                    <c:v>Environmental</c:v>
                  </c:pt>
                </c:lvl>
              </c:multiLvlStrCache>
            </c:multiLvlStrRef>
          </c:cat>
          <c:val>
            <c:numRef>
              <c:f>'SW (2)'!$O$3:$O$5</c:f>
              <c:numCache>
                <c:formatCode>General</c:formatCode>
                <c:ptCount val="1"/>
                <c:pt idx="0">
                  <c:v>5.36</c:v>
                </c:pt>
              </c:numCache>
            </c:numRef>
          </c:val>
          <c:extLst>
            <c:ext xmlns:c16="http://schemas.microsoft.com/office/drawing/2014/chart" uri="{C3380CC4-5D6E-409C-BE32-E72D297353CC}">
              <c16:uniqueId val="{00000011-1ABC-D245-B7E8-5D185813CF10}"/>
            </c:ext>
          </c:extLst>
        </c:ser>
        <c:ser>
          <c:idx val="5"/>
          <c:order val="5"/>
          <c:tx>
            <c:strRef>
              <c:f>'SW (2)'!$P$1:$P$2</c:f>
              <c:strCache>
                <c:ptCount val="1"/>
                <c:pt idx="0">
                  <c:v>WK</c:v>
                </c:pt>
              </c:strCache>
            </c:strRef>
          </c:tx>
          <c:spPr>
            <a:solidFill>
              <a:schemeClr val="accent6"/>
            </a:solidFill>
            <a:ln>
              <a:noFill/>
            </a:ln>
            <a:effectLst/>
          </c:spPr>
          <c:invertIfNegative val="0"/>
          <c:cat>
            <c:multiLvlStrRef>
              <c:f>'SW (2)'!$J$3:$J$5</c:f>
              <c:multiLvlStrCache>
                <c:ptCount val="1"/>
                <c:lvl>
                  <c:pt idx="0">
                    <c:v>Energy Management</c:v>
                  </c:pt>
                </c:lvl>
                <c:lvl>
                  <c:pt idx="0">
                    <c:v>Environmental</c:v>
                  </c:pt>
                </c:lvl>
              </c:multiLvlStrCache>
            </c:multiLvlStrRef>
          </c:cat>
          <c:val>
            <c:numRef>
              <c:f>'SW (2)'!$P$3:$P$5</c:f>
              <c:numCache>
                <c:formatCode>General</c:formatCode>
                <c:ptCount val="1"/>
                <c:pt idx="0">
                  <c:v>6.88</c:v>
                </c:pt>
              </c:numCache>
            </c:numRef>
          </c:val>
          <c:extLst>
            <c:ext xmlns:c16="http://schemas.microsoft.com/office/drawing/2014/chart" uri="{C3380CC4-5D6E-409C-BE32-E72D297353CC}">
              <c16:uniqueId val="{00000012-1ABC-D245-B7E8-5D185813CF10}"/>
            </c:ext>
          </c:extLst>
        </c:ser>
        <c:dLbls>
          <c:showLegendKey val="0"/>
          <c:showVal val="0"/>
          <c:showCatName val="0"/>
          <c:showSerName val="0"/>
          <c:showPercent val="0"/>
          <c:showBubbleSize val="0"/>
        </c:dLbls>
        <c:gapWidth val="219"/>
        <c:overlap val="-27"/>
        <c:axId val="1273179519"/>
        <c:axId val="1107660735"/>
      </c:barChart>
      <c:catAx>
        <c:axId val="12731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60735"/>
        <c:crosses val="autoZero"/>
        <c:auto val="1"/>
        <c:lblAlgn val="ctr"/>
        <c:lblOffset val="100"/>
        <c:noMultiLvlLbl val="0"/>
      </c:catAx>
      <c:valAx>
        <c:axId val="110766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363680</xdr:colOff>
      <xdr:row>18</xdr:row>
      <xdr:rowOff>184728</xdr:rowOff>
    </xdr:from>
    <xdr:to>
      <xdr:col>26</xdr:col>
      <xdr:colOff>150091</xdr:colOff>
      <xdr:row>41</xdr:row>
      <xdr:rowOff>147783</xdr:rowOff>
    </xdr:to>
    <xdr:graphicFrame macro="">
      <xdr:nvGraphicFramePr>
        <xdr:cNvPr id="2" name="Chart 1">
          <a:extLst>
            <a:ext uri="{FF2B5EF4-FFF2-40B4-BE49-F238E27FC236}">
              <a16:creationId xmlns:a16="http://schemas.microsoft.com/office/drawing/2014/main" id="{9E3328B5-4530-192B-2C00-D2762DE53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251690</xdr:colOff>
      <xdr:row>1</xdr:row>
      <xdr:rowOff>127000</xdr:rowOff>
    </xdr:from>
    <xdr:to>
      <xdr:col>19</xdr:col>
      <xdr:colOff>417944</xdr:colOff>
      <xdr:row>14</xdr:row>
      <xdr:rowOff>44735</xdr:rowOff>
    </xdr:to>
    <mc:AlternateContent xmlns:mc="http://schemas.openxmlformats.org/markup-compatibility/2006">
      <mc:Choice xmlns:a14="http://schemas.microsoft.com/office/drawing/2010/main" Requires="a14">
        <xdr:graphicFrame macro="">
          <xdr:nvGraphicFramePr>
            <xdr:cNvPr id="3" name="Company">
              <a:extLst>
                <a:ext uri="{FF2B5EF4-FFF2-40B4-BE49-F238E27FC236}">
                  <a16:creationId xmlns:a16="http://schemas.microsoft.com/office/drawing/2014/main" id="{4D42C3D3-A8E1-6E8C-3FDD-439A259383F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6484599" y="33481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356754</xdr:colOff>
      <xdr:row>1</xdr:row>
      <xdr:rowOff>122382</xdr:rowOff>
    </xdr:from>
    <xdr:to>
      <xdr:col>24</xdr:col>
      <xdr:colOff>523009</xdr:colOff>
      <xdr:row>14</xdr:row>
      <xdr:rowOff>40117</xdr:rowOff>
    </xdr:to>
    <mc:AlternateContent xmlns:mc="http://schemas.openxmlformats.org/markup-compatibility/2006">
      <mc:Choice xmlns:a14="http://schemas.microsoft.com/office/drawing/2010/main" Requires="a14">
        <xdr:graphicFrame macro="">
          <xdr:nvGraphicFramePr>
            <xdr:cNvPr id="5" name="Pilar2">
              <a:extLst>
                <a:ext uri="{FF2B5EF4-FFF2-40B4-BE49-F238E27FC236}">
                  <a16:creationId xmlns:a16="http://schemas.microsoft.com/office/drawing/2014/main" id="{DF5E699E-BFEF-C4B0-8073-3D7AAB454257}"/>
                </a:ext>
              </a:extLst>
            </xdr:cNvPr>
            <xdr:cNvGraphicFramePr/>
          </xdr:nvGraphicFramePr>
          <xdr:xfrm>
            <a:off x="0" y="0"/>
            <a:ext cx="0" cy="0"/>
          </xdr:xfrm>
          <a:graphic>
            <a:graphicData uri="http://schemas.microsoft.com/office/drawing/2010/slicer">
              <sle:slicer xmlns:sle="http://schemas.microsoft.com/office/drawing/2010/slicer" name="Pilar2"/>
            </a:graphicData>
          </a:graphic>
        </xdr:graphicFrame>
      </mc:Choice>
      <mc:Fallback>
        <xdr:sp macro="" textlink="">
          <xdr:nvSpPr>
            <xdr:cNvPr id="0" name=""/>
            <xdr:cNvSpPr>
              <a:spLocks noTextEdit="1"/>
            </xdr:cNvSpPr>
          </xdr:nvSpPr>
          <xdr:spPr>
            <a:xfrm>
              <a:off x="20746027" y="330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610755</xdr:colOff>
      <xdr:row>1</xdr:row>
      <xdr:rowOff>122382</xdr:rowOff>
    </xdr:from>
    <xdr:to>
      <xdr:col>21</xdr:col>
      <xdr:colOff>777010</xdr:colOff>
      <xdr:row>14</xdr:row>
      <xdr:rowOff>40117</xdr:rowOff>
    </xdr:to>
    <mc:AlternateContent xmlns:mc="http://schemas.openxmlformats.org/markup-compatibility/2006">
      <mc:Choice xmlns:a14="http://schemas.microsoft.com/office/drawing/2010/main" Requires="a14">
        <xdr:graphicFrame macro="">
          <xdr:nvGraphicFramePr>
            <xdr:cNvPr id="6" name="Pilar">
              <a:extLst>
                <a:ext uri="{FF2B5EF4-FFF2-40B4-BE49-F238E27FC236}">
                  <a16:creationId xmlns:a16="http://schemas.microsoft.com/office/drawing/2014/main" id="{FD853719-3D8C-3C25-550F-EB05C0106F42}"/>
                </a:ext>
              </a:extLst>
            </xdr:cNvPr>
            <xdr:cNvGraphicFramePr/>
          </xdr:nvGraphicFramePr>
          <xdr:xfrm>
            <a:off x="0" y="0"/>
            <a:ext cx="0" cy="0"/>
          </xdr:xfrm>
          <a:graphic>
            <a:graphicData uri="http://schemas.microsoft.com/office/drawing/2010/slicer">
              <sle:slicer xmlns:sle="http://schemas.microsoft.com/office/drawing/2010/slicer" name="Pilar"/>
            </a:graphicData>
          </a:graphic>
        </xdr:graphicFrame>
      </mc:Choice>
      <mc:Fallback>
        <xdr:sp macro="" textlink="">
          <xdr:nvSpPr>
            <xdr:cNvPr id="0" name=""/>
            <xdr:cNvSpPr>
              <a:spLocks noTextEdit="1"/>
            </xdr:cNvSpPr>
          </xdr:nvSpPr>
          <xdr:spPr>
            <a:xfrm>
              <a:off x="18506210" y="330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2.466476157409" createdVersion="8" refreshedVersion="8" minRefreshableVersion="3" recordCount="114" xr:uid="{97441723-2DAB-B646-ABC0-D9294408CA33}">
  <cacheSource type="worksheet">
    <worksheetSource ref="A1:G115" sheet="SW (2)"/>
  </cacheSource>
  <cacheFields count="7">
    <cacheField name="Company" numFmtId="0">
      <sharedItems count="6">
        <s v="SW"/>
        <s v="PKG"/>
        <s v="IP"/>
        <s v="GPI"/>
        <s v="SK"/>
        <s v="WK"/>
      </sharedItems>
    </cacheField>
    <cacheField name="Pilar" numFmtId="0">
      <sharedItems count="20">
        <s v="ESG"/>
        <s v="Environmental"/>
        <s v="Social"/>
        <s v="Governance"/>
        <s v="Energy Management" u="1"/>
        <s v="Environmental Supply Chain Mgmt." u="1"/>
        <s v="Sustainable Product" u="1"/>
        <s v="Air Quality" u="1"/>
        <s v="GHG Emissions Mgmt." u="1"/>
        <s v="Waste Management" u="1"/>
        <s v="Water Management" u="1"/>
        <s v="Biodiversity &amp; Natural Capita" u="1"/>
        <s v="Climate Exposure" u="1"/>
        <s v="Product Quality Management" u="1"/>
        <s v="OH&amp;S Mgmt." u="1"/>
        <s v="Ethics &amp; Compliance" u="1"/>
        <s v="Board Composition" u="1"/>
        <s v="Executive Compensation" u="1"/>
        <s v="Shareholder Rights" u="1"/>
        <s v="Audit" u="1"/>
      </sharedItems>
    </cacheField>
    <cacheField name="Pilar2" numFmtId="0">
      <sharedItems count="19">
        <s v="Environmental"/>
        <s v="Social"/>
        <s v="Governance"/>
        <s v="Energy Management"/>
        <s v="Environmental Supply Chain Mgmt."/>
        <s v="Sustainable Product"/>
        <s v="Air Quality"/>
        <s v="GHG Emissions Mgmt."/>
        <s v="Waste Management"/>
        <s v="Water Management"/>
        <s v="Biodiversity &amp; Natural Capita"/>
        <s v="Climate Exposure"/>
        <s v="Product Quality Management"/>
        <s v="OH&amp;S Mgmt."/>
        <s v="Ethics &amp; Compliance"/>
        <s v="Board Composition"/>
        <s v="Executive Compensation"/>
        <s v="Shareholder Rights"/>
        <s v="Audit"/>
      </sharedItems>
    </cacheField>
    <cacheField name="Weight" numFmtId="0">
      <sharedItems containsSemiMixedTypes="0" containsString="0" containsNumber="1" minValue="5.5399999999999998E-2" maxValue="0.5"/>
    </cacheField>
    <cacheField name="Score" numFmtId="0">
      <sharedItems containsString="0" containsBlank="1" containsNumber="1" minValue="0" maxValue="10"/>
    </cacheField>
    <cacheField name="Disclosure" numFmtId="0">
      <sharedItems containsString="0" containsBlank="1" containsNumber="1" minValue="0" maxValue="100"/>
    </cacheField>
    <cacheField name="Peer Rank" numFmtId="0">
      <sharedItems/>
    </cacheField>
  </cacheFields>
  <extLst>
    <ext xmlns:x14="http://schemas.microsoft.com/office/spreadsheetml/2009/9/main" uri="{725AE2AE-9491-48be-B2B4-4EB974FC3084}">
      <x14:pivotCacheDefinition pivotCacheId="547257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x v="0"/>
    <n v="0.5"/>
    <n v="2.66"/>
    <n v="0.52"/>
    <s v="Below Median"/>
  </r>
  <r>
    <x v="0"/>
    <x v="0"/>
    <x v="1"/>
    <n v="0.125"/>
    <n v="2.27"/>
    <n v="0.11"/>
    <s v="Lagging"/>
  </r>
  <r>
    <x v="0"/>
    <x v="0"/>
    <x v="2"/>
    <n v="0.375"/>
    <n v="8.32"/>
    <n v="0.98"/>
    <s v="Leading"/>
  </r>
  <r>
    <x v="0"/>
    <x v="1"/>
    <x v="3"/>
    <n v="0.1963"/>
    <n v="5.36"/>
    <n v="0.83"/>
    <s v="Below Median"/>
  </r>
  <r>
    <x v="0"/>
    <x v="1"/>
    <x v="4"/>
    <n v="0.1963"/>
    <n v="0"/>
    <n v="0"/>
    <s v="Lagging"/>
  </r>
  <r>
    <x v="0"/>
    <x v="1"/>
    <x v="5"/>
    <n v="0.1963"/>
    <n v="0"/>
    <n v="0"/>
    <s v="Lagging"/>
  </r>
  <r>
    <x v="0"/>
    <x v="1"/>
    <x v="6"/>
    <n v="8.48E-2"/>
    <n v="6.95"/>
    <n v="0.75"/>
    <s v="Above Median"/>
  </r>
  <r>
    <x v="0"/>
    <x v="1"/>
    <x v="7"/>
    <n v="8.48E-2"/>
    <n v="8.3000000000000007"/>
    <n v="1"/>
    <s v="Above Median"/>
  </r>
  <r>
    <x v="0"/>
    <x v="1"/>
    <x v="8"/>
    <n v="6.4600000000000005E-2"/>
    <n v="6.33"/>
    <n v="0.5"/>
    <s v="Below Median"/>
  </r>
  <r>
    <x v="0"/>
    <x v="1"/>
    <x v="9"/>
    <n v="6.4600000000000005E-2"/>
    <n v="6.45"/>
    <n v="0.5"/>
    <s v="Above Median"/>
  </r>
  <r>
    <x v="0"/>
    <x v="1"/>
    <x v="10"/>
    <n v="5.7099999999999998E-2"/>
    <n v="1.5"/>
    <n v="0"/>
    <s v="Lagging"/>
  </r>
  <r>
    <x v="0"/>
    <x v="1"/>
    <x v="11"/>
    <n v="5.5399999999999998E-2"/>
    <n v="1.5"/>
    <n v="0"/>
    <s v="Below Median"/>
  </r>
  <r>
    <x v="0"/>
    <x v="2"/>
    <x v="12"/>
    <n v="0.44440000000000002"/>
    <n v="1"/>
    <n v="0"/>
    <s v="Lagging"/>
  </r>
  <r>
    <x v="0"/>
    <x v="2"/>
    <x v="13"/>
    <n v="0.31659999999999999"/>
    <n v="3.91"/>
    <n v="0.26"/>
    <s v="Below Median"/>
  </r>
  <r>
    <x v="0"/>
    <x v="2"/>
    <x v="14"/>
    <n v="0.23899999999999999"/>
    <n v="3"/>
    <n v="0"/>
    <s v="Lagging"/>
  </r>
  <r>
    <x v="0"/>
    <x v="3"/>
    <x v="15"/>
    <n v="0.35"/>
    <n v="8.36"/>
    <n v="1"/>
    <s v="Median"/>
  </r>
  <r>
    <x v="0"/>
    <x v="3"/>
    <x v="16"/>
    <n v="0.24940000000000001"/>
    <n v="8.36"/>
    <n v="1"/>
    <s v="Leading"/>
  </r>
  <r>
    <x v="0"/>
    <x v="3"/>
    <x v="17"/>
    <n v="0.24940000000000001"/>
    <n v="8.3800000000000008"/>
    <n v="1"/>
    <s v="Leading"/>
  </r>
  <r>
    <x v="0"/>
    <x v="3"/>
    <x v="18"/>
    <n v="0.1512"/>
    <n v="8.0399999999999991"/>
    <n v="0.91"/>
    <s v="Leading"/>
  </r>
  <r>
    <x v="1"/>
    <x v="0"/>
    <x v="0"/>
    <n v="0.5"/>
    <n v="4.3499999999999996"/>
    <n v="0.62"/>
    <s v="Below Median"/>
  </r>
  <r>
    <x v="1"/>
    <x v="0"/>
    <x v="1"/>
    <n v="0.125"/>
    <n v="6.8"/>
    <n v="0.59"/>
    <s v="Lagging"/>
  </r>
  <r>
    <x v="1"/>
    <x v="0"/>
    <x v="2"/>
    <n v="0.375"/>
    <n v="6.96"/>
    <n v="0.99"/>
    <s v="Leading"/>
  </r>
  <r>
    <x v="1"/>
    <x v="1"/>
    <x v="3"/>
    <n v="0.1963"/>
    <n v="6.37"/>
    <n v="0.83"/>
    <s v="Below Median"/>
  </r>
  <r>
    <x v="1"/>
    <x v="1"/>
    <x v="4"/>
    <n v="0.1963"/>
    <n v="3.3"/>
    <n v="50"/>
    <s v="Lagging"/>
  </r>
  <r>
    <x v="1"/>
    <x v="1"/>
    <x v="5"/>
    <n v="0.1963"/>
    <n v="3"/>
    <n v="0"/>
    <s v="Lagging"/>
  </r>
  <r>
    <x v="1"/>
    <x v="1"/>
    <x v="6"/>
    <n v="8.48E-2"/>
    <n v="6.59"/>
    <n v="0.75"/>
    <s v="Above Median"/>
  </r>
  <r>
    <x v="1"/>
    <x v="1"/>
    <x v="7"/>
    <n v="8.48E-2"/>
    <n v="5.91"/>
    <n v="0.67"/>
    <s v="Above Median"/>
  </r>
  <r>
    <x v="1"/>
    <x v="1"/>
    <x v="8"/>
    <n v="6.4600000000000005E-2"/>
    <n v="0"/>
    <n v="0"/>
    <s v="Below Median"/>
  </r>
  <r>
    <x v="1"/>
    <x v="1"/>
    <x v="9"/>
    <n v="6.4600000000000005E-2"/>
    <n v="6.68"/>
    <n v="0.75"/>
    <s v="Above Median"/>
  </r>
  <r>
    <x v="1"/>
    <x v="1"/>
    <x v="10"/>
    <n v="5.7099999999999998E-2"/>
    <n v="7.94"/>
    <n v="0.67"/>
    <s v="Lagging"/>
  </r>
  <r>
    <x v="1"/>
    <x v="1"/>
    <x v="11"/>
    <n v="5.5399999999999998E-2"/>
    <n v="3"/>
    <n v="0"/>
    <s v="Below Median"/>
  </r>
  <r>
    <x v="1"/>
    <x v="2"/>
    <x v="12"/>
    <n v="0.44440000000000002"/>
    <n v="9.1199999999999992"/>
    <n v="1"/>
    <s v="Lagging"/>
  </r>
  <r>
    <x v="1"/>
    <x v="2"/>
    <x v="13"/>
    <n v="0.31659999999999999"/>
    <n v="7.1"/>
    <n v="0.68"/>
    <s v="Below Median"/>
  </r>
  <r>
    <x v="1"/>
    <x v="2"/>
    <x v="14"/>
    <n v="0.23899999999999999"/>
    <n v="3"/>
    <n v="0"/>
    <s v="Lagging"/>
  </r>
  <r>
    <x v="1"/>
    <x v="3"/>
    <x v="15"/>
    <n v="0.35"/>
    <n v="5.27"/>
    <n v="1"/>
    <s v="Median"/>
  </r>
  <r>
    <x v="1"/>
    <x v="3"/>
    <x v="16"/>
    <n v="0.24940000000000001"/>
    <n v="7.78"/>
    <n v="1"/>
    <s v="Leading"/>
  </r>
  <r>
    <x v="1"/>
    <x v="3"/>
    <x v="17"/>
    <n v="0.24940000000000001"/>
    <n v="7.16"/>
    <n v="0.93"/>
    <s v="Leading"/>
  </r>
  <r>
    <x v="1"/>
    <x v="3"/>
    <x v="18"/>
    <n v="0.1512"/>
    <n v="9.7100000000000009"/>
    <n v="1"/>
    <s v="Leading"/>
  </r>
  <r>
    <x v="2"/>
    <x v="0"/>
    <x v="0"/>
    <n v="0.5"/>
    <n v="4.74"/>
    <n v="0.69"/>
    <s v="Below Median"/>
  </r>
  <r>
    <x v="2"/>
    <x v="0"/>
    <x v="1"/>
    <n v="0.125"/>
    <n v="5.79"/>
    <n v="0.48"/>
    <s v="Lagging"/>
  </r>
  <r>
    <x v="2"/>
    <x v="0"/>
    <x v="2"/>
    <n v="0.375"/>
    <n v="7.69"/>
    <n v="1"/>
    <s v="Leading"/>
  </r>
  <r>
    <x v="2"/>
    <x v="1"/>
    <x v="3"/>
    <n v="0.1963"/>
    <n v="6.16"/>
    <n v="1"/>
    <s v="Below Median"/>
  </r>
  <r>
    <x v="2"/>
    <x v="1"/>
    <x v="4"/>
    <n v="0.1963"/>
    <n v="5.19"/>
    <n v="75"/>
    <s v="Lagging"/>
  </r>
  <r>
    <x v="2"/>
    <x v="1"/>
    <x v="5"/>
    <n v="0.1963"/>
    <n v="3"/>
    <n v="0"/>
    <s v="Lagging"/>
  </r>
  <r>
    <x v="2"/>
    <x v="1"/>
    <x v="6"/>
    <n v="8.48E-2"/>
    <n v="5.52"/>
    <n v="1"/>
    <s v="Above Median"/>
  </r>
  <r>
    <x v="2"/>
    <x v="1"/>
    <x v="7"/>
    <n v="8.48E-2"/>
    <n v="4.5"/>
    <n v="0.67"/>
    <s v="Above Median"/>
  </r>
  <r>
    <x v="2"/>
    <x v="1"/>
    <x v="8"/>
    <n v="6.4600000000000005E-2"/>
    <n v="7.27"/>
    <n v="0.5"/>
    <s v="Below Median"/>
  </r>
  <r>
    <x v="2"/>
    <x v="1"/>
    <x v="9"/>
    <n v="6.4600000000000005E-2"/>
    <n v="5.8"/>
    <n v="0.5"/>
    <s v="Above Median"/>
  </r>
  <r>
    <x v="2"/>
    <x v="1"/>
    <x v="10"/>
    <n v="5.7099999999999998E-2"/>
    <n v="5.22"/>
    <n v="0.17"/>
    <s v="Lagging"/>
  </r>
  <r>
    <x v="2"/>
    <x v="1"/>
    <x v="11"/>
    <n v="5.5399999999999998E-2"/>
    <n v="1.5"/>
    <n v="0"/>
    <s v="Below Median"/>
  </r>
  <r>
    <x v="2"/>
    <x v="2"/>
    <x v="12"/>
    <n v="0.44440000000000002"/>
    <n v="9.1199999999999992"/>
    <n v="1"/>
    <s v="Lagging"/>
  </r>
  <r>
    <x v="2"/>
    <x v="2"/>
    <x v="13"/>
    <n v="0.31659999999999999"/>
    <n v="4.0999999999999996"/>
    <n v="0.42"/>
    <s v="Below Median"/>
  </r>
  <r>
    <x v="2"/>
    <x v="2"/>
    <x v="14"/>
    <n v="0.23899999999999999"/>
    <n v="3"/>
    <n v="0"/>
    <s v="Lagging"/>
  </r>
  <r>
    <x v="2"/>
    <x v="3"/>
    <x v="15"/>
    <n v="0.35"/>
    <n v="7.32"/>
    <n v="1"/>
    <s v="Median"/>
  </r>
  <r>
    <x v="2"/>
    <x v="3"/>
    <x v="16"/>
    <n v="0.24940000000000001"/>
    <n v="7.51"/>
    <n v="1"/>
    <s v="Leading"/>
  </r>
  <r>
    <x v="2"/>
    <x v="3"/>
    <x v="17"/>
    <n v="0.24940000000000001"/>
    <n v="8.3000000000000007"/>
    <n v="1"/>
    <s v="Leading"/>
  </r>
  <r>
    <x v="2"/>
    <x v="3"/>
    <x v="18"/>
    <n v="0.1512"/>
    <n v="7.85"/>
    <n v="1"/>
    <s v="Leading"/>
  </r>
  <r>
    <x v="3"/>
    <x v="0"/>
    <x v="0"/>
    <n v="0.5"/>
    <n v="5.35"/>
    <n v="0.67"/>
    <s v="Below Median"/>
  </r>
  <r>
    <x v="3"/>
    <x v="0"/>
    <x v="1"/>
    <n v="0.125"/>
    <n v="8.36"/>
    <n v="0.73"/>
    <s v="Lagging"/>
  </r>
  <r>
    <x v="3"/>
    <x v="0"/>
    <x v="2"/>
    <n v="0.375"/>
    <n v="6.21"/>
    <n v="0.99"/>
    <s v="Leading"/>
  </r>
  <r>
    <x v="3"/>
    <x v="1"/>
    <x v="3"/>
    <n v="0.1963"/>
    <n v="6.86"/>
    <n v="1"/>
    <s v="Below Median"/>
  </r>
  <r>
    <x v="3"/>
    <x v="1"/>
    <x v="4"/>
    <n v="0.1963"/>
    <n v="0"/>
    <n v="0"/>
    <s v="Lagging"/>
  </r>
  <r>
    <x v="3"/>
    <x v="1"/>
    <x v="5"/>
    <n v="0.1963"/>
    <n v="10"/>
    <n v="100"/>
    <s v="Lagging"/>
  </r>
  <r>
    <x v="3"/>
    <x v="1"/>
    <x v="6"/>
    <n v="8.48E-2"/>
    <n v="8.41"/>
    <n v="1"/>
    <s v="Above Median"/>
  </r>
  <r>
    <x v="3"/>
    <x v="1"/>
    <x v="7"/>
    <n v="8.48E-2"/>
    <n v="9.67"/>
    <n v="1"/>
    <s v="Above Median"/>
  </r>
  <r>
    <x v="3"/>
    <x v="1"/>
    <x v="8"/>
    <n v="6.4600000000000005E-2"/>
    <n v="7.79"/>
    <n v="0.5"/>
    <s v="Below Median"/>
  </r>
  <r>
    <x v="3"/>
    <x v="1"/>
    <x v="9"/>
    <n v="6.4600000000000005E-2"/>
    <n v="7.96"/>
    <n v="0.75"/>
    <s v="Above Median"/>
  </r>
  <r>
    <x v="3"/>
    <x v="1"/>
    <x v="10"/>
    <n v="5.7099999999999998E-2"/>
    <n v="1.5"/>
    <n v="0"/>
    <s v="Lagging"/>
  </r>
  <r>
    <x v="3"/>
    <x v="1"/>
    <x v="11"/>
    <n v="5.5399999999999998E-2"/>
    <n v="3"/>
    <n v="0"/>
    <s v="Below Median"/>
  </r>
  <r>
    <x v="3"/>
    <x v="2"/>
    <x v="12"/>
    <n v="0.44440000000000002"/>
    <n v="9.41"/>
    <n v="1"/>
    <s v="Lagging"/>
  </r>
  <r>
    <x v="3"/>
    <x v="2"/>
    <x v="13"/>
    <n v="0.31659999999999999"/>
    <n v="5.93"/>
    <n v="0.35"/>
    <s v="Below Median"/>
  </r>
  <r>
    <x v="3"/>
    <x v="2"/>
    <x v="14"/>
    <n v="0.23899999999999999"/>
    <n v="10"/>
    <n v="1"/>
    <s v="Lagging"/>
  </r>
  <r>
    <x v="3"/>
    <x v="3"/>
    <x v="15"/>
    <n v="0.35"/>
    <n v="5.97"/>
    <n v="1"/>
    <s v="Median"/>
  </r>
  <r>
    <x v="3"/>
    <x v="3"/>
    <x v="16"/>
    <n v="0.24940000000000001"/>
    <n v="8.1300000000000008"/>
    <n v="1"/>
    <s v="Leading"/>
  </r>
  <r>
    <x v="3"/>
    <x v="3"/>
    <x v="17"/>
    <n v="0.24940000000000001"/>
    <n v="3.19"/>
    <n v="0.93"/>
    <s v="Leading"/>
  </r>
  <r>
    <x v="3"/>
    <x v="3"/>
    <x v="18"/>
    <n v="0.1512"/>
    <n v="9.7899999999999991"/>
    <n v="1"/>
    <s v="Leading"/>
  </r>
  <r>
    <x v="4"/>
    <x v="0"/>
    <x v="0"/>
    <n v="0.5"/>
    <n v="5.64"/>
    <n v="0.69"/>
    <s v="Below Median"/>
  </r>
  <r>
    <x v="4"/>
    <x v="0"/>
    <x v="1"/>
    <n v="0.125"/>
    <n v="2.44"/>
    <n v="0.14000000000000001"/>
    <s v="Lagging"/>
  </r>
  <r>
    <x v="4"/>
    <x v="0"/>
    <x v="2"/>
    <n v="0.375"/>
    <n v="3.8"/>
    <n v="0.66"/>
    <s v="Leading"/>
  </r>
  <r>
    <x v="4"/>
    <x v="1"/>
    <x v="3"/>
    <n v="0.1963"/>
    <n v="6.83"/>
    <n v="1"/>
    <s v="Below Median"/>
  </r>
  <r>
    <x v="4"/>
    <x v="1"/>
    <x v="4"/>
    <n v="0.1963"/>
    <n v="6.58"/>
    <n v="100"/>
    <s v="Lagging"/>
  </r>
  <r>
    <x v="4"/>
    <x v="1"/>
    <x v="5"/>
    <n v="0.1963"/>
    <n v="3"/>
    <n v="0"/>
    <s v="Lagging"/>
  </r>
  <r>
    <x v="4"/>
    <x v="1"/>
    <x v="6"/>
    <n v="8.48E-2"/>
    <n v="6.41"/>
    <n v="0.75"/>
    <s v="Above Median"/>
  </r>
  <r>
    <x v="4"/>
    <x v="1"/>
    <x v="7"/>
    <n v="8.48E-2"/>
    <n v="9.1999999999999993"/>
    <n v="1"/>
    <s v="Above Median"/>
  </r>
  <r>
    <x v="4"/>
    <x v="1"/>
    <x v="8"/>
    <n v="6.4600000000000005E-2"/>
    <n v="6.39"/>
    <n v="0.5"/>
    <s v="Below Median"/>
  </r>
  <r>
    <x v="4"/>
    <x v="1"/>
    <x v="9"/>
    <n v="6.4600000000000005E-2"/>
    <n v="6.41"/>
    <n v="0.25"/>
    <s v="Above Median"/>
  </r>
  <r>
    <x v="4"/>
    <x v="1"/>
    <x v="10"/>
    <n v="5.7099999999999998E-2"/>
    <n v="1.5"/>
    <n v="0"/>
    <s v="Lagging"/>
  </r>
  <r>
    <x v="4"/>
    <x v="1"/>
    <x v="11"/>
    <n v="5.5399999999999998E-2"/>
    <n v="6.47"/>
    <n v="1"/>
    <s v="Below Median"/>
  </r>
  <r>
    <x v="4"/>
    <x v="2"/>
    <x v="12"/>
    <n v="0.44440000000000002"/>
    <n v="1"/>
    <n v="0"/>
    <s v="Lagging"/>
  </r>
  <r>
    <x v="4"/>
    <x v="2"/>
    <x v="13"/>
    <n v="0.31659999999999999"/>
    <n v="4.57"/>
    <n v="0.32"/>
    <s v="Below Median"/>
  </r>
  <r>
    <x v="4"/>
    <x v="2"/>
    <x v="14"/>
    <n v="0.23899999999999999"/>
    <n v="3"/>
    <n v="0"/>
    <s v="Lagging"/>
  </r>
  <r>
    <x v="4"/>
    <x v="3"/>
    <x v="15"/>
    <n v="0.35"/>
    <n v="1.25"/>
    <n v="0.28000000000000003"/>
    <s v="Median"/>
  </r>
  <r>
    <x v="4"/>
    <x v="3"/>
    <x v="16"/>
    <n v="0.24940000000000001"/>
    <n v="7.17"/>
    <n v="1"/>
    <s v="Leading"/>
  </r>
  <r>
    <x v="4"/>
    <x v="3"/>
    <x v="17"/>
    <n v="0.24940000000000001"/>
    <n v="6.21"/>
    <n v="0.87"/>
    <s v="Leading"/>
  </r>
  <r>
    <x v="4"/>
    <x v="3"/>
    <x v="18"/>
    <n v="0.1512"/>
    <m/>
    <m/>
    <s v="Leading"/>
  </r>
  <r>
    <x v="5"/>
    <x v="0"/>
    <x v="0"/>
    <n v="0.5"/>
    <n v="5.25"/>
    <n v="0.69"/>
    <s v="Below Median"/>
  </r>
  <r>
    <x v="5"/>
    <x v="0"/>
    <x v="1"/>
    <n v="0.125"/>
    <n v="7.11"/>
    <n v="0.6"/>
    <s v="Lagging"/>
  </r>
  <r>
    <x v="5"/>
    <x v="0"/>
    <x v="2"/>
    <n v="0.375"/>
    <n v="7.72"/>
    <n v="1"/>
    <s v="Leading"/>
  </r>
  <r>
    <x v="5"/>
    <x v="1"/>
    <x v="3"/>
    <n v="0.1963"/>
    <n v="6.88"/>
    <n v="1"/>
    <s v="Below Median"/>
  </r>
  <r>
    <x v="5"/>
    <x v="1"/>
    <x v="4"/>
    <n v="0.1963"/>
    <n v="7.54"/>
    <n v="75"/>
    <s v="Lagging"/>
  </r>
  <r>
    <x v="5"/>
    <x v="1"/>
    <x v="5"/>
    <n v="0.1963"/>
    <n v="3"/>
    <n v="0"/>
    <s v="Lagging"/>
  </r>
  <r>
    <x v="5"/>
    <x v="1"/>
    <x v="6"/>
    <n v="8.48E-2"/>
    <n v="4.3499999999999996"/>
    <n v="0.5"/>
    <s v="Above Median"/>
  </r>
  <r>
    <x v="5"/>
    <x v="1"/>
    <x v="7"/>
    <n v="8.48E-2"/>
    <n v="7.98"/>
    <n v="1"/>
    <s v="Above Median"/>
  </r>
  <r>
    <x v="5"/>
    <x v="1"/>
    <x v="8"/>
    <n v="6.4600000000000005E-2"/>
    <n v="0"/>
    <n v="0"/>
    <s v="Below Median"/>
  </r>
  <r>
    <x v="5"/>
    <x v="1"/>
    <x v="9"/>
    <n v="6.4600000000000005E-2"/>
    <n v="6.14"/>
    <n v="0.5"/>
    <s v="Above Median"/>
  </r>
  <r>
    <x v="5"/>
    <x v="1"/>
    <x v="10"/>
    <n v="5.7099999999999998E-2"/>
    <n v="0.56000000000000005"/>
    <n v="1"/>
    <s v="Lagging"/>
  </r>
  <r>
    <x v="5"/>
    <x v="1"/>
    <x v="11"/>
    <n v="5.5399999999999998E-2"/>
    <n v="3"/>
    <n v="0"/>
    <s v="Below Median"/>
  </r>
  <r>
    <x v="5"/>
    <x v="2"/>
    <x v="12"/>
    <n v="0.44440000000000002"/>
    <n v="6.05"/>
    <n v="0.36"/>
    <s v="Lagging"/>
  </r>
  <r>
    <x v="5"/>
    <x v="2"/>
    <x v="13"/>
    <n v="0.31659999999999999"/>
    <n v="6.64"/>
    <n v="0.52"/>
    <s v="Below Median"/>
  </r>
  <r>
    <x v="5"/>
    <x v="2"/>
    <x v="14"/>
    <n v="0.23899999999999999"/>
    <n v="10"/>
    <n v="1"/>
    <s v="Lagging"/>
  </r>
  <r>
    <x v="5"/>
    <x v="3"/>
    <x v="15"/>
    <n v="0.35"/>
    <n v="7.47"/>
    <n v="1"/>
    <s v="Median"/>
  </r>
  <r>
    <x v="5"/>
    <x v="3"/>
    <x v="16"/>
    <n v="0.24940000000000001"/>
    <n v="8.08"/>
    <n v="1"/>
    <s v="Leading"/>
  </r>
  <r>
    <x v="5"/>
    <x v="3"/>
    <x v="17"/>
    <n v="0.24940000000000001"/>
    <n v="7.7"/>
    <n v="1"/>
    <s v="Leading"/>
  </r>
  <r>
    <x v="5"/>
    <x v="3"/>
    <x v="18"/>
    <n v="0.1512"/>
    <m/>
    <m/>
    <s v="Lea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5F04E-5B5C-3A46-95D4-9AC692339C56}"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Q5" firstHeaderRow="1" firstDataRow="2" firstDataCol="1"/>
  <pivotFields count="7">
    <pivotField axis="axisCol" showAll="0">
      <items count="7">
        <item x="3"/>
        <item x="2"/>
        <item x="1"/>
        <item x="4"/>
        <item x="0"/>
        <item x="5"/>
        <item t="default"/>
      </items>
    </pivotField>
    <pivotField axis="axisRow" showAll="0">
      <items count="21">
        <item h="1" m="1" x="7"/>
        <item h="1" m="1" x="19"/>
        <item h="1" m="1" x="11"/>
        <item h="1" m="1" x="16"/>
        <item h="1" m="1" x="12"/>
        <item h="1" m="1" x="4"/>
        <item x="1"/>
        <item h="1" m="1" x="5"/>
        <item h="1" m="1" x="15"/>
        <item h="1" m="1" x="17"/>
        <item h="1" m="1" x="8"/>
        <item h="1" x="3"/>
        <item h="1" m="1" x="14"/>
        <item h="1" m="1" x="13"/>
        <item h="1" m="1" x="18"/>
        <item h="1" x="2"/>
        <item h="1" m="1" x="6"/>
        <item h="1" m="1" x="9"/>
        <item h="1" m="1" x="10"/>
        <item h="1" x="0"/>
        <item t="default"/>
      </items>
    </pivotField>
    <pivotField axis="axisRow" showAll="0">
      <items count="20">
        <item h="1" x="6"/>
        <item h="1" x="18"/>
        <item h="1" x="10"/>
        <item h="1" x="15"/>
        <item h="1" x="11"/>
        <item x="3"/>
        <item h="1" x="0"/>
        <item h="1" x="4"/>
        <item h="1" x="14"/>
        <item h="1" x="16"/>
        <item h="1" x="7"/>
        <item h="1" x="2"/>
        <item h="1" x="13"/>
        <item h="1" x="12"/>
        <item h="1" x="17"/>
        <item h="1" x="1"/>
        <item h="1" x="5"/>
        <item h="1" x="8"/>
        <item h="1" x="9"/>
        <item t="default"/>
      </items>
    </pivotField>
    <pivotField showAll="0"/>
    <pivotField dataField="1" showAll="0"/>
    <pivotField showAll="0"/>
    <pivotField showAll="0"/>
  </pivotFields>
  <rowFields count="2">
    <field x="1"/>
    <field x="2"/>
  </rowFields>
  <rowItems count="3">
    <i>
      <x v="6"/>
    </i>
    <i r="1">
      <x v="5"/>
    </i>
    <i t="grand">
      <x/>
    </i>
  </rowItems>
  <colFields count="1">
    <field x="0"/>
  </colFields>
  <colItems count="7">
    <i>
      <x/>
    </i>
    <i>
      <x v="1"/>
    </i>
    <i>
      <x v="2"/>
    </i>
    <i>
      <x v="3"/>
    </i>
    <i>
      <x v="4"/>
    </i>
    <i>
      <x v="5"/>
    </i>
    <i t="grand">
      <x/>
    </i>
  </colItems>
  <dataFields count="1">
    <dataField name="Sum of Score" fld="4"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3">
          <reference field="4294967294" count="1" selected="0">
            <x v="0"/>
          </reference>
          <reference field="1" count="1" selected="0">
            <x v="19"/>
          </reference>
          <reference field="2" count="1" selected="0">
            <x v="11"/>
          </reference>
        </references>
      </pivotArea>
    </chartFormat>
    <chartFormat chart="0" format="8" series="1">
      <pivotArea type="data" outline="0" fieldPosition="0">
        <references count="3">
          <reference field="4294967294" count="1" selected="0">
            <x v="0"/>
          </reference>
          <reference field="1" count="1" selected="0">
            <x v="19"/>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EF81BFD-8152-8848-AD1F-F603A7400FB6}" sourceName="Company">
  <pivotTables>
    <pivotTable tabId="9" name="PivotTable2"/>
  </pivotTables>
  <data>
    <tabular pivotCacheId="547257867">
      <items count="6">
        <i x="3" s="1"/>
        <i x="2" s="1"/>
        <i x="1" s="1"/>
        <i x="4"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lar2" xr10:uid="{993CB91D-F167-B443-9938-509DDFEAC711}" sourceName="Pilar2">
  <pivotTables>
    <pivotTable tabId="9" name="PivotTable2"/>
  </pivotTables>
  <data>
    <tabular pivotCacheId="547257867">
      <items count="19">
        <i x="6"/>
        <i x="10"/>
        <i x="11"/>
        <i x="3" s="1"/>
        <i x="4"/>
        <i x="7"/>
        <i x="5"/>
        <i x="8"/>
        <i x="9"/>
        <i x="18" nd="1"/>
        <i x="15" nd="1"/>
        <i x="0" nd="1"/>
        <i x="14" nd="1"/>
        <i x="16" nd="1"/>
        <i x="2" nd="1"/>
        <i x="13" nd="1"/>
        <i x="12" nd="1"/>
        <i x="17"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lar" xr10:uid="{B89DCBF6-FD56-EE43-837B-177D0F901C74}" sourceName="Pilar">
  <pivotTables>
    <pivotTable tabId="9" name="PivotTable2"/>
  </pivotTables>
  <data>
    <tabular pivotCacheId="547257867">
      <items count="20">
        <i x="1" s="1"/>
        <i x="7" nd="1"/>
        <i x="19" nd="1"/>
        <i x="11" nd="1"/>
        <i x="16" nd="1"/>
        <i x="12" nd="1"/>
        <i x="4" nd="1"/>
        <i x="5" nd="1"/>
        <i x="0" nd="1"/>
        <i x="15" nd="1"/>
        <i x="17" nd="1"/>
        <i x="8" nd="1"/>
        <i x="3" nd="1"/>
        <i x="14" nd="1"/>
        <i x="13" nd="1"/>
        <i x="18" nd="1"/>
        <i x="2" nd="1"/>
        <i x="6" nd="1"/>
        <i x="9"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DB05B76A-15CF-0A49-84D2-0020E06CC198}" cache="Slicer_Company" caption="Company" rowHeight="251883"/>
  <slicer name="Pilar2" xr10:uid="{58A97388-2FE5-9F4F-B7F4-C388655F79F0}" cache="Slicer_Pilar2" caption="Pilar2" rowHeight="251883"/>
  <slicer name="Pilar" xr10:uid="{617431BF-4039-894D-A3E2-A08E9C29AF39}" cache="Slicer_Pilar" caption="Pilar" rowHeight="251883"/>
  <slicer name="Pilar 1" xr10:uid="{DB1CDFC5-4658-0045-86F2-D7C347C387B1}" cache="Slicer_Pilar" caption="Pila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FF6E-4DE2-474C-AC42-0FB88010ED64}">
  <dimension ref="A1:F25"/>
  <sheetViews>
    <sheetView zoomScale="110" zoomScaleNormal="110" workbookViewId="0">
      <selection activeCell="B7" sqref="B7:F25"/>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3" t="s">
        <v>35</v>
      </c>
      <c r="B1" s="13"/>
      <c r="C1" s="9" t="s">
        <v>36</v>
      </c>
    </row>
    <row r="2" spans="1:6" ht="24" x14ac:dyDescent="0.3">
      <c r="A2" s="8" t="s">
        <v>0</v>
      </c>
      <c r="B2" s="14" t="s">
        <v>1</v>
      </c>
      <c r="C2" s="14"/>
    </row>
    <row r="3" spans="1:6" ht="24" x14ac:dyDescent="0.3">
      <c r="A3" s="8" t="s">
        <v>2</v>
      </c>
      <c r="B3" s="7">
        <v>4.42</v>
      </c>
      <c r="C3" s="7" t="s">
        <v>30</v>
      </c>
    </row>
    <row r="4" spans="1:6" ht="24" x14ac:dyDescent="0.3">
      <c r="A4" s="12">
        <f>_xlfn.XLOOKUP(C1,'Market Cap'!$A$2:$A$5,'Market Cap'!$C$2:$C$5)</f>
        <v>20770932980.700001</v>
      </c>
      <c r="B4" s="12"/>
      <c r="C4" s="12"/>
    </row>
    <row r="6" spans="1:6" x14ac:dyDescent="0.2">
      <c r="A6" s="15" t="s">
        <v>3</v>
      </c>
      <c r="B6" s="15"/>
      <c r="C6" s="4" t="s">
        <v>23</v>
      </c>
      <c r="D6" s="4" t="s">
        <v>26</v>
      </c>
      <c r="E6" s="4" t="s">
        <v>24</v>
      </c>
      <c r="F6" s="4" t="s">
        <v>25</v>
      </c>
    </row>
    <row r="7" spans="1:6" x14ac:dyDescent="0.2">
      <c r="A7" s="11" t="s">
        <v>3</v>
      </c>
      <c r="B7" s="5" t="s">
        <v>4</v>
      </c>
      <c r="C7" s="2">
        <v>0.5</v>
      </c>
      <c r="D7" s="1">
        <v>2.66</v>
      </c>
      <c r="E7" s="2">
        <v>0.52</v>
      </c>
      <c r="F7" s="1" t="s">
        <v>31</v>
      </c>
    </row>
    <row r="8" spans="1:6" x14ac:dyDescent="0.2">
      <c r="A8" s="11"/>
      <c r="B8" s="5" t="s">
        <v>14</v>
      </c>
      <c r="C8" s="3">
        <v>0.125</v>
      </c>
      <c r="D8" s="1">
        <v>2.27</v>
      </c>
      <c r="E8" s="2">
        <v>0.11</v>
      </c>
      <c r="F8" s="1" t="s">
        <v>32</v>
      </c>
    </row>
    <row r="9" spans="1:6" x14ac:dyDescent="0.2">
      <c r="A9" s="11"/>
      <c r="B9" s="5" t="s">
        <v>18</v>
      </c>
      <c r="C9" s="3">
        <v>0.375</v>
      </c>
      <c r="D9" s="1">
        <v>8.32</v>
      </c>
      <c r="E9" s="2">
        <v>0.98</v>
      </c>
      <c r="F9" s="1" t="s">
        <v>34</v>
      </c>
    </row>
    <row r="10" spans="1:6" x14ac:dyDescent="0.2">
      <c r="A10" s="16" t="s">
        <v>27</v>
      </c>
      <c r="B10" s="6" t="s">
        <v>5</v>
      </c>
      <c r="C10" s="3">
        <v>0.1963</v>
      </c>
      <c r="D10" s="1">
        <v>5.36</v>
      </c>
      <c r="E10" s="2">
        <v>0.83</v>
      </c>
      <c r="F10" s="1" t="s">
        <v>31</v>
      </c>
    </row>
    <row r="11" spans="1:6" x14ac:dyDescent="0.2">
      <c r="A11" s="16"/>
      <c r="B11" s="6" t="s">
        <v>6</v>
      </c>
      <c r="C11" s="3">
        <v>0.1963</v>
      </c>
      <c r="D11" s="1">
        <v>0</v>
      </c>
      <c r="E11" s="1">
        <v>0</v>
      </c>
      <c r="F11" s="1" t="s">
        <v>32</v>
      </c>
    </row>
    <row r="12" spans="1:6" x14ac:dyDescent="0.2">
      <c r="A12" s="16"/>
      <c r="B12" s="6" t="s">
        <v>7</v>
      </c>
      <c r="C12" s="3">
        <v>0.1963</v>
      </c>
      <c r="D12" s="1">
        <v>0</v>
      </c>
      <c r="E12" s="1">
        <v>0</v>
      </c>
      <c r="F12" s="1" t="s">
        <v>32</v>
      </c>
    </row>
    <row r="13" spans="1:6" x14ac:dyDescent="0.2">
      <c r="A13" s="16"/>
      <c r="B13" s="6" t="s">
        <v>8</v>
      </c>
      <c r="C13" s="3">
        <v>8.48E-2</v>
      </c>
      <c r="D13" s="1">
        <v>6.95</v>
      </c>
      <c r="E13" s="2">
        <v>0.75</v>
      </c>
      <c r="F13" s="1" t="s">
        <v>30</v>
      </c>
    </row>
    <row r="14" spans="1:6" x14ac:dyDescent="0.2">
      <c r="A14" s="16"/>
      <c r="B14" s="6" t="s">
        <v>9</v>
      </c>
      <c r="C14" s="3">
        <v>8.48E-2</v>
      </c>
      <c r="D14" s="1">
        <v>8.3000000000000007</v>
      </c>
      <c r="E14" s="2">
        <v>1</v>
      </c>
      <c r="F14" s="1" t="s">
        <v>30</v>
      </c>
    </row>
    <row r="15" spans="1:6" x14ac:dyDescent="0.2">
      <c r="A15" s="16"/>
      <c r="B15" s="6" t="s">
        <v>10</v>
      </c>
      <c r="C15" s="3">
        <v>6.4600000000000005E-2</v>
      </c>
      <c r="D15" s="1">
        <v>6.33</v>
      </c>
      <c r="E15" s="2">
        <v>0.5</v>
      </c>
      <c r="F15" s="1" t="s">
        <v>31</v>
      </c>
    </row>
    <row r="16" spans="1:6" x14ac:dyDescent="0.2">
      <c r="A16" s="16"/>
      <c r="B16" s="6" t="s">
        <v>11</v>
      </c>
      <c r="C16" s="3">
        <v>6.4600000000000005E-2</v>
      </c>
      <c r="D16" s="1">
        <v>6.45</v>
      </c>
      <c r="E16" s="2">
        <v>0.5</v>
      </c>
      <c r="F16" s="1" t="s">
        <v>30</v>
      </c>
    </row>
    <row r="17" spans="1:6" x14ac:dyDescent="0.2">
      <c r="A17" s="16"/>
      <c r="B17" s="6" t="s">
        <v>12</v>
      </c>
      <c r="C17" s="3">
        <v>5.7099999999999998E-2</v>
      </c>
      <c r="D17" s="1">
        <v>1.5</v>
      </c>
      <c r="E17" s="2">
        <v>0</v>
      </c>
      <c r="F17" s="1" t="s">
        <v>32</v>
      </c>
    </row>
    <row r="18" spans="1:6" x14ac:dyDescent="0.2">
      <c r="A18" s="16"/>
      <c r="B18" s="6" t="s">
        <v>13</v>
      </c>
      <c r="C18" s="3">
        <v>5.5399999999999998E-2</v>
      </c>
      <c r="D18" s="1">
        <v>1.5</v>
      </c>
      <c r="E18" s="2">
        <v>0</v>
      </c>
      <c r="F18" s="1" t="s">
        <v>31</v>
      </c>
    </row>
    <row r="19" spans="1:6" x14ac:dyDescent="0.2">
      <c r="A19" s="10" t="s">
        <v>28</v>
      </c>
      <c r="B19" s="6" t="s">
        <v>15</v>
      </c>
      <c r="C19" s="3">
        <v>0.44440000000000002</v>
      </c>
      <c r="D19" s="1">
        <v>1</v>
      </c>
      <c r="E19" s="2">
        <v>0</v>
      </c>
      <c r="F19" s="1" t="s">
        <v>32</v>
      </c>
    </row>
    <row r="20" spans="1:6" x14ac:dyDescent="0.2">
      <c r="A20" s="10"/>
      <c r="B20" s="6" t="s">
        <v>16</v>
      </c>
      <c r="C20" s="3">
        <v>0.31659999999999999</v>
      </c>
      <c r="D20" s="1">
        <v>3.91</v>
      </c>
      <c r="E20" s="2">
        <v>0.26</v>
      </c>
      <c r="F20" s="1" t="s">
        <v>31</v>
      </c>
    </row>
    <row r="21" spans="1:6" x14ac:dyDescent="0.2">
      <c r="A21" s="10"/>
      <c r="B21" s="6" t="s">
        <v>17</v>
      </c>
      <c r="C21" s="3">
        <v>0.23899999999999999</v>
      </c>
      <c r="D21" s="1">
        <v>3</v>
      </c>
      <c r="E21" s="2">
        <v>0</v>
      </c>
      <c r="F21" s="1" t="s">
        <v>32</v>
      </c>
    </row>
    <row r="22" spans="1:6" x14ac:dyDescent="0.2">
      <c r="A22" s="10" t="s">
        <v>29</v>
      </c>
      <c r="B22" s="6" t="s">
        <v>19</v>
      </c>
      <c r="C22" s="2">
        <v>0.35</v>
      </c>
      <c r="D22" s="1">
        <v>8.36</v>
      </c>
      <c r="E22" s="2">
        <v>1</v>
      </c>
      <c r="F22" s="1" t="s">
        <v>33</v>
      </c>
    </row>
    <row r="23" spans="1:6" x14ac:dyDescent="0.2">
      <c r="A23" s="10"/>
      <c r="B23" s="6" t="s">
        <v>20</v>
      </c>
      <c r="C23" s="3">
        <v>0.24940000000000001</v>
      </c>
      <c r="D23" s="1">
        <v>8.36</v>
      </c>
      <c r="E23" s="2">
        <v>1</v>
      </c>
      <c r="F23" s="1" t="s">
        <v>34</v>
      </c>
    </row>
    <row r="24" spans="1:6" x14ac:dyDescent="0.2">
      <c r="A24" s="10"/>
      <c r="B24" s="6" t="s">
        <v>21</v>
      </c>
      <c r="C24" s="3">
        <v>0.24940000000000001</v>
      </c>
      <c r="D24" s="1">
        <v>8.3800000000000008</v>
      </c>
      <c r="E24" s="2">
        <v>1</v>
      </c>
      <c r="F24" s="1" t="s">
        <v>34</v>
      </c>
    </row>
    <row r="25" spans="1:6" x14ac:dyDescent="0.2">
      <c r="A25" s="10"/>
      <c r="B25" s="6" t="s">
        <v>22</v>
      </c>
      <c r="C25" s="3">
        <v>0.1512</v>
      </c>
      <c r="D25" s="1">
        <v>8.0399999999999991</v>
      </c>
      <c r="E25" s="2">
        <v>0.91</v>
      </c>
      <c r="F25" s="1" t="s">
        <v>34</v>
      </c>
    </row>
  </sheetData>
  <mergeCells count="8">
    <mergeCell ref="A22:A25"/>
    <mergeCell ref="A7:A9"/>
    <mergeCell ref="A4:C4"/>
    <mergeCell ref="A1:B1"/>
    <mergeCell ref="B2:C2"/>
    <mergeCell ref="A6:B6"/>
    <mergeCell ref="A10:A18"/>
    <mergeCell ref="A19: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2AD1-BAAD-F841-A3F1-0468BBB65257}">
  <dimension ref="A1:F25"/>
  <sheetViews>
    <sheetView zoomScale="110" zoomScaleNormal="110" workbookViewId="0">
      <selection activeCell="B7" sqref="B7:F25"/>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7" t="s">
        <v>37</v>
      </c>
      <c r="B1" s="17"/>
      <c r="C1" s="9" t="s">
        <v>38</v>
      </c>
    </row>
    <row r="2" spans="1:6" ht="24" x14ac:dyDescent="0.3">
      <c r="A2" s="8" t="s">
        <v>0</v>
      </c>
      <c r="B2" s="14" t="s">
        <v>1</v>
      </c>
      <c r="C2" s="14"/>
    </row>
    <row r="3" spans="1:6" ht="24" x14ac:dyDescent="0.3">
      <c r="A3" s="8" t="s">
        <v>2</v>
      </c>
      <c r="B3" s="7">
        <v>5.57</v>
      </c>
      <c r="C3" s="7" t="s">
        <v>34</v>
      </c>
    </row>
    <row r="4" spans="1:6" ht="24" x14ac:dyDescent="0.3">
      <c r="A4" s="12">
        <f>_xlfn.XLOOKUP(C1,'Market Cap'!$A$2:$A$5,'Market Cap'!$C$2:$C$5)</f>
        <v>19358683457.529999</v>
      </c>
      <c r="B4" s="12"/>
      <c r="C4" s="12"/>
    </row>
    <row r="6" spans="1:6" x14ac:dyDescent="0.2">
      <c r="A6" s="15" t="s">
        <v>3</v>
      </c>
      <c r="B6" s="15"/>
      <c r="C6" s="4" t="s">
        <v>23</v>
      </c>
      <c r="D6" s="4" t="s">
        <v>26</v>
      </c>
      <c r="E6" s="4" t="s">
        <v>24</v>
      </c>
      <c r="F6" s="4" t="s">
        <v>25</v>
      </c>
    </row>
    <row r="7" spans="1:6" x14ac:dyDescent="0.2">
      <c r="A7" s="11" t="s">
        <v>3</v>
      </c>
      <c r="B7" s="5" t="s">
        <v>4</v>
      </c>
      <c r="C7" s="2">
        <v>0.5</v>
      </c>
      <c r="D7" s="1">
        <v>4.3499999999999996</v>
      </c>
      <c r="E7" s="2">
        <v>0.62</v>
      </c>
      <c r="F7" s="1" t="s">
        <v>31</v>
      </c>
    </row>
    <row r="8" spans="1:6" x14ac:dyDescent="0.2">
      <c r="A8" s="11"/>
      <c r="B8" s="5" t="s">
        <v>14</v>
      </c>
      <c r="C8" s="3">
        <v>0.125</v>
      </c>
      <c r="D8" s="1">
        <v>6.8</v>
      </c>
      <c r="E8" s="2">
        <v>0.59</v>
      </c>
      <c r="F8" s="1" t="s">
        <v>32</v>
      </c>
    </row>
    <row r="9" spans="1:6" x14ac:dyDescent="0.2">
      <c r="A9" s="11"/>
      <c r="B9" s="5" t="s">
        <v>18</v>
      </c>
      <c r="C9" s="3">
        <v>0.375</v>
      </c>
      <c r="D9" s="1">
        <v>6.96</v>
      </c>
      <c r="E9" s="2">
        <v>0.99</v>
      </c>
      <c r="F9" s="1" t="s">
        <v>34</v>
      </c>
    </row>
    <row r="10" spans="1:6" x14ac:dyDescent="0.2">
      <c r="A10" s="16" t="s">
        <v>27</v>
      </c>
      <c r="B10" s="6" t="s">
        <v>5</v>
      </c>
      <c r="C10" s="3">
        <v>0.1963</v>
      </c>
      <c r="D10" s="1">
        <v>6.37</v>
      </c>
      <c r="E10" s="2">
        <v>0.83</v>
      </c>
      <c r="F10" s="1" t="s">
        <v>31</v>
      </c>
    </row>
    <row r="11" spans="1:6" x14ac:dyDescent="0.2">
      <c r="A11" s="16"/>
      <c r="B11" s="6" t="s">
        <v>6</v>
      </c>
      <c r="C11" s="3">
        <v>0.1963</v>
      </c>
      <c r="D11" s="1">
        <v>3.3</v>
      </c>
      <c r="E11" s="1">
        <v>50</v>
      </c>
      <c r="F11" s="1" t="s">
        <v>32</v>
      </c>
    </row>
    <row r="12" spans="1:6" x14ac:dyDescent="0.2">
      <c r="A12" s="16"/>
      <c r="B12" s="6" t="s">
        <v>7</v>
      </c>
      <c r="C12" s="3">
        <v>0.1963</v>
      </c>
      <c r="D12" s="1">
        <v>3</v>
      </c>
      <c r="E12" s="1">
        <v>0</v>
      </c>
      <c r="F12" s="1" t="s">
        <v>32</v>
      </c>
    </row>
    <row r="13" spans="1:6" x14ac:dyDescent="0.2">
      <c r="A13" s="16"/>
      <c r="B13" s="6" t="s">
        <v>8</v>
      </c>
      <c r="C13" s="3">
        <v>8.48E-2</v>
      </c>
      <c r="D13" s="1">
        <v>6.59</v>
      </c>
      <c r="E13" s="2">
        <v>0.75</v>
      </c>
      <c r="F13" s="1" t="s">
        <v>30</v>
      </c>
    </row>
    <row r="14" spans="1:6" x14ac:dyDescent="0.2">
      <c r="A14" s="16"/>
      <c r="B14" s="6" t="s">
        <v>9</v>
      </c>
      <c r="C14" s="3">
        <v>8.48E-2</v>
      </c>
      <c r="D14" s="1">
        <v>5.91</v>
      </c>
      <c r="E14" s="2">
        <v>0.67</v>
      </c>
      <c r="F14" s="1" t="s">
        <v>30</v>
      </c>
    </row>
    <row r="15" spans="1:6" x14ac:dyDescent="0.2">
      <c r="A15" s="16"/>
      <c r="B15" s="6" t="s">
        <v>10</v>
      </c>
      <c r="C15" s="3">
        <v>6.4600000000000005E-2</v>
      </c>
      <c r="D15" s="1">
        <v>0</v>
      </c>
      <c r="E15" s="2">
        <v>0</v>
      </c>
      <c r="F15" s="1" t="s">
        <v>31</v>
      </c>
    </row>
    <row r="16" spans="1:6" x14ac:dyDescent="0.2">
      <c r="A16" s="16"/>
      <c r="B16" s="6" t="s">
        <v>11</v>
      </c>
      <c r="C16" s="3">
        <v>6.4600000000000005E-2</v>
      </c>
      <c r="D16" s="1">
        <v>6.68</v>
      </c>
      <c r="E16" s="2">
        <v>0.75</v>
      </c>
      <c r="F16" s="1" t="s">
        <v>30</v>
      </c>
    </row>
    <row r="17" spans="1:6" x14ac:dyDescent="0.2">
      <c r="A17" s="16"/>
      <c r="B17" s="6" t="s">
        <v>12</v>
      </c>
      <c r="C17" s="3">
        <v>5.7099999999999998E-2</v>
      </c>
      <c r="D17" s="1">
        <v>7.94</v>
      </c>
      <c r="E17" s="2">
        <v>0.67</v>
      </c>
      <c r="F17" s="1" t="s">
        <v>32</v>
      </c>
    </row>
    <row r="18" spans="1:6" x14ac:dyDescent="0.2">
      <c r="A18" s="16"/>
      <c r="B18" s="6" t="s">
        <v>13</v>
      </c>
      <c r="C18" s="3">
        <v>5.5399999999999998E-2</v>
      </c>
      <c r="D18" s="1">
        <v>3</v>
      </c>
      <c r="E18" s="2">
        <v>0</v>
      </c>
      <c r="F18" s="1" t="s">
        <v>31</v>
      </c>
    </row>
    <row r="19" spans="1:6" x14ac:dyDescent="0.2">
      <c r="A19" s="10" t="s">
        <v>28</v>
      </c>
      <c r="B19" s="6" t="s">
        <v>15</v>
      </c>
      <c r="C19" s="3">
        <v>0.44440000000000002</v>
      </c>
      <c r="D19" s="1">
        <v>9.1199999999999992</v>
      </c>
      <c r="E19" s="2">
        <v>1</v>
      </c>
      <c r="F19" s="1" t="s">
        <v>32</v>
      </c>
    </row>
    <row r="20" spans="1:6" x14ac:dyDescent="0.2">
      <c r="A20" s="10"/>
      <c r="B20" s="6" t="s">
        <v>16</v>
      </c>
      <c r="C20" s="3">
        <v>0.31659999999999999</v>
      </c>
      <c r="D20" s="1">
        <v>7.1</v>
      </c>
      <c r="E20" s="2">
        <v>0.68</v>
      </c>
      <c r="F20" s="1" t="s">
        <v>31</v>
      </c>
    </row>
    <row r="21" spans="1:6" x14ac:dyDescent="0.2">
      <c r="A21" s="10"/>
      <c r="B21" s="6" t="s">
        <v>17</v>
      </c>
      <c r="C21" s="3">
        <v>0.23899999999999999</v>
      </c>
      <c r="D21" s="1">
        <v>3</v>
      </c>
      <c r="E21" s="2">
        <v>0</v>
      </c>
      <c r="F21" s="1" t="s">
        <v>32</v>
      </c>
    </row>
    <row r="22" spans="1:6" x14ac:dyDescent="0.2">
      <c r="A22" s="10" t="s">
        <v>29</v>
      </c>
      <c r="B22" s="6" t="s">
        <v>19</v>
      </c>
      <c r="C22" s="2">
        <v>0.35</v>
      </c>
      <c r="D22" s="1">
        <v>5.27</v>
      </c>
      <c r="E22" s="2">
        <v>1</v>
      </c>
      <c r="F22" s="1" t="s">
        <v>33</v>
      </c>
    </row>
    <row r="23" spans="1:6" x14ac:dyDescent="0.2">
      <c r="A23" s="10"/>
      <c r="B23" s="6" t="s">
        <v>20</v>
      </c>
      <c r="C23" s="3">
        <v>0.24940000000000001</v>
      </c>
      <c r="D23" s="1">
        <v>7.78</v>
      </c>
      <c r="E23" s="2">
        <v>1</v>
      </c>
      <c r="F23" s="1" t="s">
        <v>34</v>
      </c>
    </row>
    <row r="24" spans="1:6" x14ac:dyDescent="0.2">
      <c r="A24" s="10"/>
      <c r="B24" s="6" t="s">
        <v>21</v>
      </c>
      <c r="C24" s="3">
        <v>0.24940000000000001</v>
      </c>
      <c r="D24" s="1">
        <v>7.16</v>
      </c>
      <c r="E24" s="2">
        <v>0.93</v>
      </c>
      <c r="F24" s="1" t="s">
        <v>34</v>
      </c>
    </row>
    <row r="25" spans="1:6" x14ac:dyDescent="0.2">
      <c r="A25" s="10"/>
      <c r="B25" s="6" t="s">
        <v>22</v>
      </c>
      <c r="C25" s="3">
        <v>0.1512</v>
      </c>
      <c r="D25" s="1">
        <v>9.7100000000000009</v>
      </c>
      <c r="E25" s="2">
        <v>1</v>
      </c>
      <c r="F25" s="1" t="s">
        <v>34</v>
      </c>
    </row>
  </sheetData>
  <mergeCells count="8">
    <mergeCell ref="A22:A25"/>
    <mergeCell ref="A1:B1"/>
    <mergeCell ref="B2:C2"/>
    <mergeCell ref="A6:B6"/>
    <mergeCell ref="A7:A9"/>
    <mergeCell ref="A10:A18"/>
    <mergeCell ref="A19:A21"/>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E0E6-3DA7-F241-813D-9079D1981241}">
  <dimension ref="A1:F25"/>
  <sheetViews>
    <sheetView zoomScale="110" zoomScaleNormal="110" workbookViewId="0">
      <selection activeCell="B7" sqref="B7:F25"/>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7" t="s">
        <v>40</v>
      </c>
      <c r="B1" s="17"/>
      <c r="C1" s="9" t="s">
        <v>39</v>
      </c>
    </row>
    <row r="2" spans="1:6" ht="24" x14ac:dyDescent="0.3">
      <c r="A2" s="8" t="s">
        <v>0</v>
      </c>
      <c r="B2" s="14" t="s">
        <v>1</v>
      </c>
      <c r="C2" s="14"/>
    </row>
    <row r="3" spans="1:6" ht="24" x14ac:dyDescent="0.3">
      <c r="A3" s="8" t="s">
        <v>2</v>
      </c>
      <c r="B3" s="7">
        <v>5.91</v>
      </c>
      <c r="C3" s="7" t="s">
        <v>34</v>
      </c>
    </row>
    <row r="4" spans="1:6" ht="24" x14ac:dyDescent="0.3">
      <c r="A4" s="12">
        <f>_xlfn.XLOOKUP(C1,'Market Cap'!$A$2:$A$5,'Market Cap'!$C$2:$C$5)</f>
        <v>17684839447.400002</v>
      </c>
      <c r="B4" s="12"/>
      <c r="C4" s="12"/>
    </row>
    <row r="6" spans="1:6" x14ac:dyDescent="0.2">
      <c r="A6" s="15" t="s">
        <v>3</v>
      </c>
      <c r="B6" s="15"/>
      <c r="C6" s="4" t="s">
        <v>23</v>
      </c>
      <c r="D6" s="4" t="s">
        <v>26</v>
      </c>
      <c r="E6" s="4" t="s">
        <v>24</v>
      </c>
      <c r="F6" s="4" t="s">
        <v>25</v>
      </c>
    </row>
    <row r="7" spans="1:6" x14ac:dyDescent="0.2">
      <c r="A7" s="11" t="s">
        <v>3</v>
      </c>
      <c r="B7" s="5" t="s">
        <v>4</v>
      </c>
      <c r="C7" s="2">
        <v>0.5</v>
      </c>
      <c r="D7" s="1">
        <v>4.74</v>
      </c>
      <c r="E7" s="2">
        <v>0.69</v>
      </c>
      <c r="F7" s="1" t="s">
        <v>31</v>
      </c>
    </row>
    <row r="8" spans="1:6" x14ac:dyDescent="0.2">
      <c r="A8" s="11"/>
      <c r="B8" s="5" t="s">
        <v>14</v>
      </c>
      <c r="C8" s="3">
        <v>0.125</v>
      </c>
      <c r="D8" s="1">
        <v>5.79</v>
      </c>
      <c r="E8" s="2">
        <v>0.48</v>
      </c>
      <c r="F8" s="1" t="s">
        <v>32</v>
      </c>
    </row>
    <row r="9" spans="1:6" x14ac:dyDescent="0.2">
      <c r="A9" s="11"/>
      <c r="B9" s="5" t="s">
        <v>18</v>
      </c>
      <c r="C9" s="3">
        <v>0.375</v>
      </c>
      <c r="D9" s="1">
        <v>7.69</v>
      </c>
      <c r="E9" s="2">
        <v>1</v>
      </c>
      <c r="F9" s="1" t="s">
        <v>34</v>
      </c>
    </row>
    <row r="10" spans="1:6" x14ac:dyDescent="0.2">
      <c r="A10" s="16" t="s">
        <v>27</v>
      </c>
      <c r="B10" s="6" t="s">
        <v>5</v>
      </c>
      <c r="C10" s="3">
        <v>0.1963</v>
      </c>
      <c r="D10" s="1">
        <v>6.16</v>
      </c>
      <c r="E10" s="2">
        <v>1</v>
      </c>
      <c r="F10" s="1" t="s">
        <v>31</v>
      </c>
    </row>
    <row r="11" spans="1:6" x14ac:dyDescent="0.2">
      <c r="A11" s="16"/>
      <c r="B11" s="6" t="s">
        <v>6</v>
      </c>
      <c r="C11" s="3">
        <v>0.1963</v>
      </c>
      <c r="D11" s="1">
        <v>5.19</v>
      </c>
      <c r="E11" s="1">
        <v>75</v>
      </c>
      <c r="F11" s="1" t="s">
        <v>32</v>
      </c>
    </row>
    <row r="12" spans="1:6" x14ac:dyDescent="0.2">
      <c r="A12" s="16"/>
      <c r="B12" s="6" t="s">
        <v>7</v>
      </c>
      <c r="C12" s="3">
        <v>0.1963</v>
      </c>
      <c r="D12" s="1">
        <v>3</v>
      </c>
      <c r="E12" s="1">
        <v>0</v>
      </c>
      <c r="F12" s="1" t="s">
        <v>32</v>
      </c>
    </row>
    <row r="13" spans="1:6" x14ac:dyDescent="0.2">
      <c r="A13" s="16"/>
      <c r="B13" s="6" t="s">
        <v>8</v>
      </c>
      <c r="C13" s="3">
        <v>8.48E-2</v>
      </c>
      <c r="D13" s="1">
        <v>5.52</v>
      </c>
      <c r="E13" s="2">
        <v>1</v>
      </c>
      <c r="F13" s="1" t="s">
        <v>30</v>
      </c>
    </row>
    <row r="14" spans="1:6" x14ac:dyDescent="0.2">
      <c r="A14" s="16"/>
      <c r="B14" s="6" t="s">
        <v>9</v>
      </c>
      <c r="C14" s="3">
        <v>8.48E-2</v>
      </c>
      <c r="D14" s="1">
        <v>4.5</v>
      </c>
      <c r="E14" s="2">
        <v>0.67</v>
      </c>
      <c r="F14" s="1" t="s">
        <v>30</v>
      </c>
    </row>
    <row r="15" spans="1:6" x14ac:dyDescent="0.2">
      <c r="A15" s="16"/>
      <c r="B15" s="6" t="s">
        <v>10</v>
      </c>
      <c r="C15" s="3">
        <v>6.4600000000000005E-2</v>
      </c>
      <c r="D15" s="1">
        <v>7.27</v>
      </c>
      <c r="E15" s="2">
        <v>0.5</v>
      </c>
      <c r="F15" s="1" t="s">
        <v>31</v>
      </c>
    </row>
    <row r="16" spans="1:6" x14ac:dyDescent="0.2">
      <c r="A16" s="16"/>
      <c r="B16" s="6" t="s">
        <v>11</v>
      </c>
      <c r="C16" s="3">
        <v>6.4600000000000005E-2</v>
      </c>
      <c r="D16" s="1">
        <v>5.8</v>
      </c>
      <c r="E16" s="2">
        <v>0.5</v>
      </c>
      <c r="F16" s="1" t="s">
        <v>30</v>
      </c>
    </row>
    <row r="17" spans="1:6" x14ac:dyDescent="0.2">
      <c r="A17" s="16"/>
      <c r="B17" s="6" t="s">
        <v>12</v>
      </c>
      <c r="C17" s="3">
        <v>5.7099999999999998E-2</v>
      </c>
      <c r="D17" s="1">
        <v>5.22</v>
      </c>
      <c r="E17" s="2">
        <v>0.17</v>
      </c>
      <c r="F17" s="1" t="s">
        <v>32</v>
      </c>
    </row>
    <row r="18" spans="1:6" x14ac:dyDescent="0.2">
      <c r="A18" s="16"/>
      <c r="B18" s="6" t="s">
        <v>13</v>
      </c>
      <c r="C18" s="3">
        <v>5.5399999999999998E-2</v>
      </c>
      <c r="D18" s="1">
        <v>1.5</v>
      </c>
      <c r="E18" s="2">
        <v>0</v>
      </c>
      <c r="F18" s="1" t="s">
        <v>31</v>
      </c>
    </row>
    <row r="19" spans="1:6" x14ac:dyDescent="0.2">
      <c r="A19" s="10" t="s">
        <v>28</v>
      </c>
      <c r="B19" s="6" t="s">
        <v>15</v>
      </c>
      <c r="C19" s="3">
        <v>0.44440000000000002</v>
      </c>
      <c r="D19" s="1">
        <v>9.1199999999999992</v>
      </c>
      <c r="E19" s="2">
        <v>1</v>
      </c>
      <c r="F19" s="1" t="s">
        <v>32</v>
      </c>
    </row>
    <row r="20" spans="1:6" x14ac:dyDescent="0.2">
      <c r="A20" s="10"/>
      <c r="B20" s="6" t="s">
        <v>16</v>
      </c>
      <c r="C20" s="3">
        <v>0.31659999999999999</v>
      </c>
      <c r="D20" s="1">
        <v>4.0999999999999996</v>
      </c>
      <c r="E20" s="2">
        <v>0.42</v>
      </c>
      <c r="F20" s="1" t="s">
        <v>31</v>
      </c>
    </row>
    <row r="21" spans="1:6" x14ac:dyDescent="0.2">
      <c r="A21" s="10"/>
      <c r="B21" s="6" t="s">
        <v>17</v>
      </c>
      <c r="C21" s="3">
        <v>0.23899999999999999</v>
      </c>
      <c r="D21" s="1">
        <v>3</v>
      </c>
      <c r="E21" s="2">
        <v>0</v>
      </c>
      <c r="F21" s="1" t="s">
        <v>32</v>
      </c>
    </row>
    <row r="22" spans="1:6" x14ac:dyDescent="0.2">
      <c r="A22" s="10" t="s">
        <v>29</v>
      </c>
      <c r="B22" s="6" t="s">
        <v>19</v>
      </c>
      <c r="C22" s="2">
        <v>0.35</v>
      </c>
      <c r="D22" s="1">
        <v>7.32</v>
      </c>
      <c r="E22" s="2">
        <v>1</v>
      </c>
      <c r="F22" s="1" t="s">
        <v>33</v>
      </c>
    </row>
    <row r="23" spans="1:6" x14ac:dyDescent="0.2">
      <c r="A23" s="10"/>
      <c r="B23" s="6" t="s">
        <v>20</v>
      </c>
      <c r="C23" s="3">
        <v>0.24940000000000001</v>
      </c>
      <c r="D23" s="1">
        <v>7.51</v>
      </c>
      <c r="E23" s="2">
        <v>1</v>
      </c>
      <c r="F23" s="1" t="s">
        <v>34</v>
      </c>
    </row>
    <row r="24" spans="1:6" x14ac:dyDescent="0.2">
      <c r="A24" s="10"/>
      <c r="B24" s="6" t="s">
        <v>21</v>
      </c>
      <c r="C24" s="3">
        <v>0.24940000000000001</v>
      </c>
      <c r="D24" s="1">
        <v>8.3000000000000007</v>
      </c>
      <c r="E24" s="2">
        <v>1</v>
      </c>
      <c r="F24" s="1" t="s">
        <v>34</v>
      </c>
    </row>
    <row r="25" spans="1:6" x14ac:dyDescent="0.2">
      <c r="A25" s="10"/>
      <c r="B25" s="6" t="s">
        <v>22</v>
      </c>
      <c r="C25" s="3">
        <v>0.1512</v>
      </c>
      <c r="D25" s="1">
        <v>7.85</v>
      </c>
      <c r="E25" s="2">
        <v>1</v>
      </c>
      <c r="F25" s="1" t="s">
        <v>34</v>
      </c>
    </row>
  </sheetData>
  <mergeCells count="8">
    <mergeCell ref="A22:A25"/>
    <mergeCell ref="A4:C4"/>
    <mergeCell ref="A1:B1"/>
    <mergeCell ref="B2:C2"/>
    <mergeCell ref="A6:B6"/>
    <mergeCell ref="A7:A9"/>
    <mergeCell ref="A10:A18"/>
    <mergeCell ref="A19: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8DF5-637D-054D-98FC-8F5AB3808C44}">
  <dimension ref="A1:F25"/>
  <sheetViews>
    <sheetView zoomScale="110" zoomScaleNormal="110" workbookViewId="0">
      <selection activeCell="B7" sqref="B7:F25"/>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7" t="s">
        <v>42</v>
      </c>
      <c r="B1" s="17"/>
      <c r="C1" s="9" t="s">
        <v>41</v>
      </c>
    </row>
    <row r="2" spans="1:6" ht="24" x14ac:dyDescent="0.3">
      <c r="A2" s="8" t="s">
        <v>0</v>
      </c>
      <c r="B2" s="14" t="s">
        <v>1</v>
      </c>
      <c r="C2" s="14"/>
    </row>
    <row r="3" spans="1:6" ht="24" x14ac:dyDescent="0.3">
      <c r="A3" s="8" t="s">
        <v>2</v>
      </c>
      <c r="B3" s="7">
        <v>6.02</v>
      </c>
      <c r="C3" s="7" t="s">
        <v>34</v>
      </c>
    </row>
    <row r="4" spans="1:6" ht="24" x14ac:dyDescent="0.3">
      <c r="A4" s="12">
        <f>_xlfn.XLOOKUP(C1,'Market Cap'!$A$2:$A$5,'Market Cap'!$C$2:$C$5)</f>
        <v>2844927419.5049996</v>
      </c>
      <c r="B4" s="12"/>
      <c r="C4" s="12"/>
    </row>
    <row r="6" spans="1:6" x14ac:dyDescent="0.2">
      <c r="A6" s="15" t="s">
        <v>3</v>
      </c>
      <c r="B6" s="15"/>
      <c r="C6" s="4" t="s">
        <v>23</v>
      </c>
      <c r="D6" s="4" t="s">
        <v>26</v>
      </c>
      <c r="E6" s="4" t="s">
        <v>24</v>
      </c>
      <c r="F6" s="4" t="s">
        <v>25</v>
      </c>
    </row>
    <row r="7" spans="1:6" x14ac:dyDescent="0.2">
      <c r="A7" s="11" t="s">
        <v>3</v>
      </c>
      <c r="B7" s="5" t="s">
        <v>4</v>
      </c>
      <c r="C7" s="2">
        <v>0.5</v>
      </c>
      <c r="D7" s="1">
        <v>5.35</v>
      </c>
      <c r="E7" s="2">
        <v>0.67</v>
      </c>
      <c r="F7" s="1" t="s">
        <v>31</v>
      </c>
    </row>
    <row r="8" spans="1:6" x14ac:dyDescent="0.2">
      <c r="A8" s="11"/>
      <c r="B8" s="5" t="s">
        <v>14</v>
      </c>
      <c r="C8" s="3">
        <v>0.125</v>
      </c>
      <c r="D8" s="1">
        <v>8.36</v>
      </c>
      <c r="E8" s="2">
        <v>0.73</v>
      </c>
      <c r="F8" s="1" t="s">
        <v>32</v>
      </c>
    </row>
    <row r="9" spans="1:6" x14ac:dyDescent="0.2">
      <c r="A9" s="11"/>
      <c r="B9" s="5" t="s">
        <v>18</v>
      </c>
      <c r="C9" s="3">
        <v>0.375</v>
      </c>
      <c r="D9" s="1">
        <v>6.21</v>
      </c>
      <c r="E9" s="2">
        <v>0.99</v>
      </c>
      <c r="F9" s="1" t="s">
        <v>34</v>
      </c>
    </row>
    <row r="10" spans="1:6" x14ac:dyDescent="0.2">
      <c r="A10" s="16" t="s">
        <v>27</v>
      </c>
      <c r="B10" s="6" t="s">
        <v>5</v>
      </c>
      <c r="C10" s="3">
        <v>0.1963</v>
      </c>
      <c r="D10" s="1">
        <v>6.86</v>
      </c>
      <c r="E10" s="2">
        <v>1</v>
      </c>
      <c r="F10" s="1" t="s">
        <v>31</v>
      </c>
    </row>
    <row r="11" spans="1:6" x14ac:dyDescent="0.2">
      <c r="A11" s="16"/>
      <c r="B11" s="6" t="s">
        <v>6</v>
      </c>
      <c r="C11" s="3">
        <v>0.1963</v>
      </c>
      <c r="D11" s="1">
        <v>0</v>
      </c>
      <c r="E11" s="1">
        <v>0</v>
      </c>
      <c r="F11" s="1" t="s">
        <v>32</v>
      </c>
    </row>
    <row r="12" spans="1:6" x14ac:dyDescent="0.2">
      <c r="A12" s="16"/>
      <c r="B12" s="6" t="s">
        <v>7</v>
      </c>
      <c r="C12" s="3">
        <v>0.1963</v>
      </c>
      <c r="D12" s="1">
        <v>10</v>
      </c>
      <c r="E12" s="1">
        <v>100</v>
      </c>
      <c r="F12" s="1" t="s">
        <v>32</v>
      </c>
    </row>
    <row r="13" spans="1:6" x14ac:dyDescent="0.2">
      <c r="A13" s="16"/>
      <c r="B13" s="6" t="s">
        <v>8</v>
      </c>
      <c r="C13" s="3">
        <v>8.48E-2</v>
      </c>
      <c r="D13" s="1">
        <v>8.41</v>
      </c>
      <c r="E13" s="2">
        <v>1</v>
      </c>
      <c r="F13" s="1" t="s">
        <v>30</v>
      </c>
    </row>
    <row r="14" spans="1:6" x14ac:dyDescent="0.2">
      <c r="A14" s="16"/>
      <c r="B14" s="6" t="s">
        <v>9</v>
      </c>
      <c r="C14" s="3">
        <v>8.48E-2</v>
      </c>
      <c r="D14" s="1">
        <v>9.67</v>
      </c>
      <c r="E14" s="2">
        <v>1</v>
      </c>
      <c r="F14" s="1" t="s">
        <v>30</v>
      </c>
    </row>
    <row r="15" spans="1:6" x14ac:dyDescent="0.2">
      <c r="A15" s="16"/>
      <c r="B15" s="6" t="s">
        <v>10</v>
      </c>
      <c r="C15" s="3">
        <v>6.4600000000000005E-2</v>
      </c>
      <c r="D15" s="1">
        <v>7.79</v>
      </c>
      <c r="E15" s="2">
        <v>0.5</v>
      </c>
      <c r="F15" s="1" t="s">
        <v>31</v>
      </c>
    </row>
    <row r="16" spans="1:6" x14ac:dyDescent="0.2">
      <c r="A16" s="16"/>
      <c r="B16" s="6" t="s">
        <v>11</v>
      </c>
      <c r="C16" s="3">
        <v>6.4600000000000005E-2</v>
      </c>
      <c r="D16" s="1">
        <v>7.96</v>
      </c>
      <c r="E16" s="2">
        <v>0.75</v>
      </c>
      <c r="F16" s="1" t="s">
        <v>30</v>
      </c>
    </row>
    <row r="17" spans="1:6" x14ac:dyDescent="0.2">
      <c r="A17" s="16"/>
      <c r="B17" s="6" t="s">
        <v>12</v>
      </c>
      <c r="C17" s="3">
        <v>5.7099999999999998E-2</v>
      </c>
      <c r="D17" s="1">
        <v>1.5</v>
      </c>
      <c r="E17" s="2">
        <v>0</v>
      </c>
      <c r="F17" s="1" t="s">
        <v>32</v>
      </c>
    </row>
    <row r="18" spans="1:6" x14ac:dyDescent="0.2">
      <c r="A18" s="16"/>
      <c r="B18" s="6" t="s">
        <v>13</v>
      </c>
      <c r="C18" s="3">
        <v>5.5399999999999998E-2</v>
      </c>
      <c r="D18" s="1">
        <v>3</v>
      </c>
      <c r="E18" s="2">
        <v>0</v>
      </c>
      <c r="F18" s="1" t="s">
        <v>31</v>
      </c>
    </row>
    <row r="19" spans="1:6" x14ac:dyDescent="0.2">
      <c r="A19" s="10" t="s">
        <v>28</v>
      </c>
      <c r="B19" s="6" t="s">
        <v>15</v>
      </c>
      <c r="C19" s="3">
        <v>0.44440000000000002</v>
      </c>
      <c r="D19" s="1">
        <v>9.41</v>
      </c>
      <c r="E19" s="2">
        <v>1</v>
      </c>
      <c r="F19" s="1" t="s">
        <v>32</v>
      </c>
    </row>
    <row r="20" spans="1:6" x14ac:dyDescent="0.2">
      <c r="A20" s="10"/>
      <c r="B20" s="6" t="s">
        <v>16</v>
      </c>
      <c r="C20" s="3">
        <v>0.31659999999999999</v>
      </c>
      <c r="D20" s="1">
        <v>5.93</v>
      </c>
      <c r="E20" s="2">
        <v>0.35</v>
      </c>
      <c r="F20" s="1" t="s">
        <v>31</v>
      </c>
    </row>
    <row r="21" spans="1:6" x14ac:dyDescent="0.2">
      <c r="A21" s="10"/>
      <c r="B21" s="6" t="s">
        <v>17</v>
      </c>
      <c r="C21" s="3">
        <v>0.23899999999999999</v>
      </c>
      <c r="D21" s="1">
        <v>10</v>
      </c>
      <c r="E21" s="2">
        <v>1</v>
      </c>
      <c r="F21" s="1" t="s">
        <v>32</v>
      </c>
    </row>
    <row r="22" spans="1:6" x14ac:dyDescent="0.2">
      <c r="A22" s="10" t="s">
        <v>29</v>
      </c>
      <c r="B22" s="6" t="s">
        <v>19</v>
      </c>
      <c r="C22" s="2">
        <v>0.35</v>
      </c>
      <c r="D22" s="1">
        <v>5.97</v>
      </c>
      <c r="E22" s="2">
        <v>1</v>
      </c>
      <c r="F22" s="1" t="s">
        <v>33</v>
      </c>
    </row>
    <row r="23" spans="1:6" x14ac:dyDescent="0.2">
      <c r="A23" s="10"/>
      <c r="B23" s="6" t="s">
        <v>20</v>
      </c>
      <c r="C23" s="3">
        <v>0.24940000000000001</v>
      </c>
      <c r="D23" s="1">
        <v>8.1300000000000008</v>
      </c>
      <c r="E23" s="2">
        <v>1</v>
      </c>
      <c r="F23" s="1" t="s">
        <v>34</v>
      </c>
    </row>
    <row r="24" spans="1:6" x14ac:dyDescent="0.2">
      <c r="A24" s="10"/>
      <c r="B24" s="6" t="s">
        <v>21</v>
      </c>
      <c r="C24" s="3">
        <v>0.24940000000000001</v>
      </c>
      <c r="D24" s="1">
        <v>3.19</v>
      </c>
      <c r="E24" s="2">
        <v>0.93</v>
      </c>
      <c r="F24" s="1" t="s">
        <v>34</v>
      </c>
    </row>
    <row r="25" spans="1:6" x14ac:dyDescent="0.2">
      <c r="A25" s="10"/>
      <c r="B25" s="6" t="s">
        <v>22</v>
      </c>
      <c r="C25" s="3">
        <v>0.1512</v>
      </c>
      <c r="D25" s="1">
        <v>9.7899999999999991</v>
      </c>
      <c r="E25" s="2">
        <v>1</v>
      </c>
      <c r="F25" s="1" t="s">
        <v>34</v>
      </c>
    </row>
  </sheetData>
  <mergeCells count="8">
    <mergeCell ref="A22:A25"/>
    <mergeCell ref="A4:C4"/>
    <mergeCell ref="A1:B1"/>
    <mergeCell ref="B2:C2"/>
    <mergeCell ref="A6:B6"/>
    <mergeCell ref="A7:A9"/>
    <mergeCell ref="A10:A18"/>
    <mergeCell ref="A19:A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FD-57F0-5148-B077-5E949BF8FFE1}">
  <dimension ref="A1:F25"/>
  <sheetViews>
    <sheetView zoomScale="110" zoomScaleNormal="110" workbookViewId="0">
      <selection activeCell="B7" sqref="B7:F25"/>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7" t="s">
        <v>43</v>
      </c>
      <c r="B1" s="17"/>
      <c r="C1" s="9" t="s">
        <v>44</v>
      </c>
    </row>
    <row r="2" spans="1:6" ht="24" x14ac:dyDescent="0.3">
      <c r="A2" s="8" t="s">
        <v>0</v>
      </c>
      <c r="B2" s="14" t="s">
        <v>1</v>
      </c>
      <c r="C2" s="14"/>
    </row>
    <row r="3" spans="1:6" ht="24" x14ac:dyDescent="0.3">
      <c r="A3" s="8" t="s">
        <v>2</v>
      </c>
      <c r="B3" s="7">
        <v>4.4800000000000004</v>
      </c>
      <c r="C3" s="7" t="s">
        <v>30</v>
      </c>
    </row>
    <row r="4" spans="1:6" ht="24" x14ac:dyDescent="0.3">
      <c r="A4" s="12" t="e">
        <f>_xlfn.XLOOKUP(C1,'Market Cap'!$A$2:$A$5,'Market Cap'!$C$2:$C$5)</f>
        <v>#N/A</v>
      </c>
      <c r="B4" s="12"/>
      <c r="C4" s="12"/>
    </row>
    <row r="6" spans="1:6" x14ac:dyDescent="0.2">
      <c r="A6" s="15" t="s">
        <v>3</v>
      </c>
      <c r="B6" s="15"/>
      <c r="C6" s="4" t="s">
        <v>23</v>
      </c>
      <c r="D6" s="4" t="s">
        <v>26</v>
      </c>
      <c r="E6" s="4" t="s">
        <v>24</v>
      </c>
      <c r="F6" s="4" t="s">
        <v>25</v>
      </c>
    </row>
    <row r="7" spans="1:6" x14ac:dyDescent="0.2">
      <c r="A7" s="11" t="s">
        <v>3</v>
      </c>
      <c r="B7" s="5" t="s">
        <v>4</v>
      </c>
      <c r="C7" s="2">
        <v>0.5</v>
      </c>
      <c r="D7" s="1">
        <v>5.64</v>
      </c>
      <c r="E7" s="2">
        <v>0.69</v>
      </c>
      <c r="F7" s="1" t="s">
        <v>31</v>
      </c>
    </row>
    <row r="8" spans="1:6" x14ac:dyDescent="0.2">
      <c r="A8" s="11"/>
      <c r="B8" s="5" t="s">
        <v>14</v>
      </c>
      <c r="C8" s="3">
        <v>0.125</v>
      </c>
      <c r="D8" s="1">
        <v>2.44</v>
      </c>
      <c r="E8" s="2">
        <v>0.14000000000000001</v>
      </c>
      <c r="F8" s="1" t="s">
        <v>32</v>
      </c>
    </row>
    <row r="9" spans="1:6" x14ac:dyDescent="0.2">
      <c r="A9" s="11"/>
      <c r="B9" s="5" t="s">
        <v>18</v>
      </c>
      <c r="C9" s="3">
        <v>0.375</v>
      </c>
      <c r="D9" s="1">
        <v>3.8</v>
      </c>
      <c r="E9" s="2">
        <v>0.66</v>
      </c>
      <c r="F9" s="1" t="s">
        <v>34</v>
      </c>
    </row>
    <row r="10" spans="1:6" x14ac:dyDescent="0.2">
      <c r="A10" s="16" t="s">
        <v>27</v>
      </c>
      <c r="B10" s="6" t="s">
        <v>5</v>
      </c>
      <c r="C10" s="3">
        <v>0.1963</v>
      </c>
      <c r="D10" s="1">
        <v>6.83</v>
      </c>
      <c r="E10" s="2">
        <v>1</v>
      </c>
      <c r="F10" s="1" t="s">
        <v>31</v>
      </c>
    </row>
    <row r="11" spans="1:6" x14ac:dyDescent="0.2">
      <c r="A11" s="16"/>
      <c r="B11" s="6" t="s">
        <v>6</v>
      </c>
      <c r="C11" s="3">
        <v>0.1963</v>
      </c>
      <c r="D11" s="1">
        <v>6.58</v>
      </c>
      <c r="E11" s="1">
        <v>100</v>
      </c>
      <c r="F11" s="1" t="s">
        <v>32</v>
      </c>
    </row>
    <row r="12" spans="1:6" x14ac:dyDescent="0.2">
      <c r="A12" s="16"/>
      <c r="B12" s="6" t="s">
        <v>7</v>
      </c>
      <c r="C12" s="3">
        <v>0.1963</v>
      </c>
      <c r="D12" s="1">
        <v>3</v>
      </c>
      <c r="E12" s="1">
        <v>0</v>
      </c>
      <c r="F12" s="1" t="s">
        <v>32</v>
      </c>
    </row>
    <row r="13" spans="1:6" x14ac:dyDescent="0.2">
      <c r="A13" s="16"/>
      <c r="B13" s="6" t="s">
        <v>8</v>
      </c>
      <c r="C13" s="3">
        <v>8.48E-2</v>
      </c>
      <c r="D13" s="1">
        <v>6.41</v>
      </c>
      <c r="E13" s="2">
        <v>0.75</v>
      </c>
      <c r="F13" s="1" t="s">
        <v>30</v>
      </c>
    </row>
    <row r="14" spans="1:6" x14ac:dyDescent="0.2">
      <c r="A14" s="16"/>
      <c r="B14" s="6" t="s">
        <v>9</v>
      </c>
      <c r="C14" s="3">
        <v>8.48E-2</v>
      </c>
      <c r="D14" s="1">
        <v>9.1999999999999993</v>
      </c>
      <c r="E14" s="2">
        <v>1</v>
      </c>
      <c r="F14" s="1" t="s">
        <v>30</v>
      </c>
    </row>
    <row r="15" spans="1:6" x14ac:dyDescent="0.2">
      <c r="A15" s="16"/>
      <c r="B15" s="6" t="s">
        <v>10</v>
      </c>
      <c r="C15" s="3">
        <v>6.4600000000000005E-2</v>
      </c>
      <c r="D15" s="1">
        <v>6.39</v>
      </c>
      <c r="E15" s="2">
        <v>0.5</v>
      </c>
      <c r="F15" s="1" t="s">
        <v>31</v>
      </c>
    </row>
    <row r="16" spans="1:6" x14ac:dyDescent="0.2">
      <c r="A16" s="16"/>
      <c r="B16" s="6" t="s">
        <v>11</v>
      </c>
      <c r="C16" s="3">
        <v>6.4600000000000005E-2</v>
      </c>
      <c r="D16" s="1">
        <v>6.41</v>
      </c>
      <c r="E16" s="2">
        <v>0.25</v>
      </c>
      <c r="F16" s="1" t="s">
        <v>30</v>
      </c>
    </row>
    <row r="17" spans="1:6" x14ac:dyDescent="0.2">
      <c r="A17" s="16"/>
      <c r="B17" s="6" t="s">
        <v>12</v>
      </c>
      <c r="C17" s="3">
        <v>5.7099999999999998E-2</v>
      </c>
      <c r="D17" s="1">
        <v>1.5</v>
      </c>
      <c r="E17" s="2">
        <v>0</v>
      </c>
      <c r="F17" s="1" t="s">
        <v>32</v>
      </c>
    </row>
    <row r="18" spans="1:6" x14ac:dyDescent="0.2">
      <c r="A18" s="16"/>
      <c r="B18" s="6" t="s">
        <v>13</v>
      </c>
      <c r="C18" s="3">
        <v>5.5399999999999998E-2</v>
      </c>
      <c r="D18" s="1">
        <v>6.47</v>
      </c>
      <c r="E18" s="2">
        <v>1</v>
      </c>
      <c r="F18" s="1" t="s">
        <v>31</v>
      </c>
    </row>
    <row r="19" spans="1:6" x14ac:dyDescent="0.2">
      <c r="A19" s="10" t="s">
        <v>28</v>
      </c>
      <c r="B19" s="6" t="s">
        <v>15</v>
      </c>
      <c r="C19" s="3">
        <v>0.44440000000000002</v>
      </c>
      <c r="D19" s="1">
        <v>1</v>
      </c>
      <c r="E19" s="2">
        <v>0</v>
      </c>
      <c r="F19" s="1" t="s">
        <v>32</v>
      </c>
    </row>
    <row r="20" spans="1:6" x14ac:dyDescent="0.2">
      <c r="A20" s="10"/>
      <c r="B20" s="6" t="s">
        <v>16</v>
      </c>
      <c r="C20" s="3">
        <v>0.31659999999999999</v>
      </c>
      <c r="D20" s="1">
        <v>4.57</v>
      </c>
      <c r="E20" s="2">
        <v>0.32</v>
      </c>
      <c r="F20" s="1" t="s">
        <v>31</v>
      </c>
    </row>
    <row r="21" spans="1:6" x14ac:dyDescent="0.2">
      <c r="A21" s="10"/>
      <c r="B21" s="6" t="s">
        <v>17</v>
      </c>
      <c r="C21" s="3">
        <v>0.23899999999999999</v>
      </c>
      <c r="D21" s="1">
        <v>3</v>
      </c>
      <c r="E21" s="2">
        <v>0</v>
      </c>
      <c r="F21" s="1" t="s">
        <v>32</v>
      </c>
    </row>
    <row r="22" spans="1:6" x14ac:dyDescent="0.2">
      <c r="A22" s="10" t="s">
        <v>29</v>
      </c>
      <c r="B22" s="6" t="s">
        <v>19</v>
      </c>
      <c r="C22" s="2">
        <v>0.35</v>
      </c>
      <c r="D22" s="1">
        <v>1.25</v>
      </c>
      <c r="E22" s="2">
        <v>0.28000000000000003</v>
      </c>
      <c r="F22" s="1" t="s">
        <v>33</v>
      </c>
    </row>
    <row r="23" spans="1:6" x14ac:dyDescent="0.2">
      <c r="A23" s="10"/>
      <c r="B23" s="6" t="s">
        <v>20</v>
      </c>
      <c r="C23" s="3">
        <v>0.24940000000000001</v>
      </c>
      <c r="D23" s="1">
        <v>7.17</v>
      </c>
      <c r="E23" s="2">
        <v>1</v>
      </c>
      <c r="F23" s="1" t="s">
        <v>34</v>
      </c>
    </row>
    <row r="24" spans="1:6" x14ac:dyDescent="0.2">
      <c r="A24" s="10"/>
      <c r="B24" s="6" t="s">
        <v>21</v>
      </c>
      <c r="C24" s="3">
        <v>0.24940000000000001</v>
      </c>
      <c r="D24" s="1">
        <v>6.21</v>
      </c>
      <c r="E24" s="2">
        <v>0.87</v>
      </c>
      <c r="F24" s="1" t="s">
        <v>34</v>
      </c>
    </row>
    <row r="25" spans="1:6" x14ac:dyDescent="0.2">
      <c r="A25" s="10"/>
      <c r="B25" s="6" t="s">
        <v>22</v>
      </c>
      <c r="C25" s="3">
        <v>0.1512</v>
      </c>
      <c r="D25" s="1"/>
      <c r="E25" s="2"/>
      <c r="F25" s="1" t="s">
        <v>34</v>
      </c>
    </row>
  </sheetData>
  <mergeCells count="8">
    <mergeCell ref="A22:A25"/>
    <mergeCell ref="A4:C4"/>
    <mergeCell ref="A1:B1"/>
    <mergeCell ref="B2:C2"/>
    <mergeCell ref="A6:B6"/>
    <mergeCell ref="A7:A9"/>
    <mergeCell ref="A10:A18"/>
    <mergeCell ref="A19:A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46CE-F846-194A-AACC-13B22E8E6A78}">
  <dimension ref="A1:F25"/>
  <sheetViews>
    <sheetView zoomScale="110" zoomScaleNormal="110" workbookViewId="0">
      <selection activeCell="C6" sqref="C6:F6"/>
    </sheetView>
  </sheetViews>
  <sheetFormatPr baseColWidth="10" defaultRowHeight="16" x14ac:dyDescent="0.2"/>
  <cols>
    <col min="1" max="1" width="14" bestFit="1" customWidth="1"/>
    <col min="2" max="2" width="29.5" bestFit="1" customWidth="1"/>
    <col min="3" max="3" width="18.33203125" bestFit="1" customWidth="1"/>
    <col min="4" max="7" width="13.83203125" customWidth="1"/>
  </cols>
  <sheetData>
    <row r="1" spans="1:6" ht="27" x14ac:dyDescent="0.35">
      <c r="A1" s="17" t="s">
        <v>46</v>
      </c>
      <c r="B1" s="17"/>
      <c r="C1" s="9" t="s">
        <v>45</v>
      </c>
    </row>
    <row r="2" spans="1:6" ht="24" x14ac:dyDescent="0.3">
      <c r="A2" s="8" t="s">
        <v>0</v>
      </c>
      <c r="B2" s="14" t="s">
        <v>1</v>
      </c>
      <c r="C2" s="14"/>
    </row>
    <row r="3" spans="1:6" ht="24" x14ac:dyDescent="0.3">
      <c r="A3" s="8" t="s">
        <v>2</v>
      </c>
      <c r="B3" s="7">
        <v>6.36</v>
      </c>
      <c r="C3" s="7" t="s">
        <v>34</v>
      </c>
    </row>
    <row r="4" spans="1:6" ht="24" x14ac:dyDescent="0.3">
      <c r="A4" s="12" t="e">
        <f>_xlfn.XLOOKUP(C1,'Market Cap'!$A$2:$A$5,'Market Cap'!$C$2:$C$5)</f>
        <v>#N/A</v>
      </c>
      <c r="B4" s="12"/>
      <c r="C4" s="12"/>
    </row>
    <row r="6" spans="1:6" x14ac:dyDescent="0.2">
      <c r="A6" s="15" t="s">
        <v>3</v>
      </c>
      <c r="B6" s="15"/>
      <c r="C6" s="4" t="s">
        <v>23</v>
      </c>
      <c r="D6" s="4" t="s">
        <v>26</v>
      </c>
      <c r="E6" s="4" t="s">
        <v>24</v>
      </c>
      <c r="F6" s="4" t="s">
        <v>25</v>
      </c>
    </row>
    <row r="7" spans="1:6" x14ac:dyDescent="0.2">
      <c r="A7" s="11" t="s">
        <v>3</v>
      </c>
      <c r="B7" s="5" t="s">
        <v>4</v>
      </c>
      <c r="C7" s="2">
        <v>0.5</v>
      </c>
      <c r="D7" s="1">
        <v>5.25</v>
      </c>
      <c r="E7" s="2">
        <v>0.69</v>
      </c>
      <c r="F7" s="1" t="s">
        <v>31</v>
      </c>
    </row>
    <row r="8" spans="1:6" x14ac:dyDescent="0.2">
      <c r="A8" s="11"/>
      <c r="B8" s="5" t="s">
        <v>14</v>
      </c>
      <c r="C8" s="3">
        <v>0.125</v>
      </c>
      <c r="D8" s="1">
        <v>7.11</v>
      </c>
      <c r="E8" s="2">
        <v>0.6</v>
      </c>
      <c r="F8" s="1" t="s">
        <v>32</v>
      </c>
    </row>
    <row r="9" spans="1:6" x14ac:dyDescent="0.2">
      <c r="A9" s="11"/>
      <c r="B9" s="5" t="s">
        <v>18</v>
      </c>
      <c r="C9" s="3">
        <v>0.375</v>
      </c>
      <c r="D9" s="1">
        <v>7.72</v>
      </c>
      <c r="E9" s="2">
        <v>1</v>
      </c>
      <c r="F9" s="1" t="s">
        <v>34</v>
      </c>
    </row>
    <row r="10" spans="1:6" x14ac:dyDescent="0.2">
      <c r="A10" s="16" t="s">
        <v>27</v>
      </c>
      <c r="B10" s="6" t="s">
        <v>5</v>
      </c>
      <c r="C10" s="3">
        <v>0.1963</v>
      </c>
      <c r="D10" s="1">
        <v>6.88</v>
      </c>
      <c r="E10" s="2">
        <v>1</v>
      </c>
      <c r="F10" s="1" t="s">
        <v>31</v>
      </c>
    </row>
    <row r="11" spans="1:6" x14ac:dyDescent="0.2">
      <c r="A11" s="16"/>
      <c r="B11" s="6" t="s">
        <v>6</v>
      </c>
      <c r="C11" s="3">
        <v>0.1963</v>
      </c>
      <c r="D11" s="1">
        <v>7.54</v>
      </c>
      <c r="E11" s="1">
        <v>75</v>
      </c>
      <c r="F11" s="1" t="s">
        <v>32</v>
      </c>
    </row>
    <row r="12" spans="1:6" x14ac:dyDescent="0.2">
      <c r="A12" s="16"/>
      <c r="B12" s="6" t="s">
        <v>7</v>
      </c>
      <c r="C12" s="3">
        <v>0.1963</v>
      </c>
      <c r="D12" s="1">
        <v>3</v>
      </c>
      <c r="E12" s="1">
        <v>0</v>
      </c>
      <c r="F12" s="1" t="s">
        <v>32</v>
      </c>
    </row>
    <row r="13" spans="1:6" x14ac:dyDescent="0.2">
      <c r="A13" s="16"/>
      <c r="B13" s="6" t="s">
        <v>8</v>
      </c>
      <c r="C13" s="3">
        <v>8.48E-2</v>
      </c>
      <c r="D13" s="1">
        <v>4.3499999999999996</v>
      </c>
      <c r="E13" s="2">
        <v>0.5</v>
      </c>
      <c r="F13" s="1" t="s">
        <v>30</v>
      </c>
    </row>
    <row r="14" spans="1:6" x14ac:dyDescent="0.2">
      <c r="A14" s="16"/>
      <c r="B14" s="6" t="s">
        <v>9</v>
      </c>
      <c r="C14" s="3">
        <v>8.48E-2</v>
      </c>
      <c r="D14" s="1">
        <v>7.98</v>
      </c>
      <c r="E14" s="2">
        <v>1</v>
      </c>
      <c r="F14" s="1" t="s">
        <v>30</v>
      </c>
    </row>
    <row r="15" spans="1:6" x14ac:dyDescent="0.2">
      <c r="A15" s="16"/>
      <c r="B15" s="6" t="s">
        <v>10</v>
      </c>
      <c r="C15" s="3">
        <v>6.4600000000000005E-2</v>
      </c>
      <c r="D15" s="1">
        <v>0</v>
      </c>
      <c r="E15" s="2">
        <v>0</v>
      </c>
      <c r="F15" s="1" t="s">
        <v>31</v>
      </c>
    </row>
    <row r="16" spans="1:6" x14ac:dyDescent="0.2">
      <c r="A16" s="16"/>
      <c r="B16" s="6" t="s">
        <v>11</v>
      </c>
      <c r="C16" s="3">
        <v>6.4600000000000005E-2</v>
      </c>
      <c r="D16" s="1">
        <v>6.14</v>
      </c>
      <c r="E16" s="2">
        <v>0.5</v>
      </c>
      <c r="F16" s="1" t="s">
        <v>30</v>
      </c>
    </row>
    <row r="17" spans="1:6" x14ac:dyDescent="0.2">
      <c r="A17" s="16"/>
      <c r="B17" s="6" t="s">
        <v>12</v>
      </c>
      <c r="C17" s="3">
        <v>5.7099999999999998E-2</v>
      </c>
      <c r="D17" s="1">
        <v>0.56000000000000005</v>
      </c>
      <c r="E17" s="2">
        <v>1</v>
      </c>
      <c r="F17" s="1" t="s">
        <v>32</v>
      </c>
    </row>
    <row r="18" spans="1:6" x14ac:dyDescent="0.2">
      <c r="A18" s="16"/>
      <c r="B18" s="6" t="s">
        <v>13</v>
      </c>
      <c r="C18" s="3">
        <v>5.5399999999999998E-2</v>
      </c>
      <c r="D18" s="1">
        <v>3</v>
      </c>
      <c r="E18" s="2">
        <v>0</v>
      </c>
      <c r="F18" s="1" t="s">
        <v>31</v>
      </c>
    </row>
    <row r="19" spans="1:6" x14ac:dyDescent="0.2">
      <c r="A19" s="10" t="s">
        <v>28</v>
      </c>
      <c r="B19" s="6" t="s">
        <v>15</v>
      </c>
      <c r="C19" s="3">
        <v>0.44440000000000002</v>
      </c>
      <c r="D19" s="1">
        <v>6.05</v>
      </c>
      <c r="E19" s="2">
        <v>0.36</v>
      </c>
      <c r="F19" s="1" t="s">
        <v>32</v>
      </c>
    </row>
    <row r="20" spans="1:6" x14ac:dyDescent="0.2">
      <c r="A20" s="10"/>
      <c r="B20" s="6" t="s">
        <v>16</v>
      </c>
      <c r="C20" s="3">
        <v>0.31659999999999999</v>
      </c>
      <c r="D20" s="1">
        <v>6.64</v>
      </c>
      <c r="E20" s="2">
        <v>0.52</v>
      </c>
      <c r="F20" s="1" t="s">
        <v>31</v>
      </c>
    </row>
    <row r="21" spans="1:6" x14ac:dyDescent="0.2">
      <c r="A21" s="10"/>
      <c r="B21" s="6" t="s">
        <v>17</v>
      </c>
      <c r="C21" s="3">
        <v>0.23899999999999999</v>
      </c>
      <c r="D21" s="1">
        <v>10</v>
      </c>
      <c r="E21" s="2">
        <v>1</v>
      </c>
      <c r="F21" s="1" t="s">
        <v>32</v>
      </c>
    </row>
    <row r="22" spans="1:6" x14ac:dyDescent="0.2">
      <c r="A22" s="10" t="s">
        <v>29</v>
      </c>
      <c r="B22" s="6" t="s">
        <v>19</v>
      </c>
      <c r="C22" s="2">
        <v>0.35</v>
      </c>
      <c r="D22" s="1">
        <v>7.47</v>
      </c>
      <c r="E22" s="2">
        <v>1</v>
      </c>
      <c r="F22" s="1" t="s">
        <v>33</v>
      </c>
    </row>
    <row r="23" spans="1:6" x14ac:dyDescent="0.2">
      <c r="A23" s="10"/>
      <c r="B23" s="6" t="s">
        <v>20</v>
      </c>
      <c r="C23" s="3">
        <v>0.24940000000000001</v>
      </c>
      <c r="D23" s="1">
        <v>8.08</v>
      </c>
      <c r="E23" s="2">
        <v>1</v>
      </c>
      <c r="F23" s="1" t="s">
        <v>34</v>
      </c>
    </row>
    <row r="24" spans="1:6" x14ac:dyDescent="0.2">
      <c r="A24" s="10"/>
      <c r="B24" s="6" t="s">
        <v>21</v>
      </c>
      <c r="C24" s="3">
        <v>0.24940000000000001</v>
      </c>
      <c r="D24" s="1">
        <v>7.7</v>
      </c>
      <c r="E24" s="2">
        <v>1</v>
      </c>
      <c r="F24" s="1" t="s">
        <v>34</v>
      </c>
    </row>
    <row r="25" spans="1:6" x14ac:dyDescent="0.2">
      <c r="A25" s="10"/>
      <c r="B25" s="6" t="s">
        <v>22</v>
      </c>
      <c r="C25" s="3">
        <v>0.1512</v>
      </c>
      <c r="D25" s="1"/>
      <c r="E25" s="2"/>
      <c r="F25" s="1" t="s">
        <v>34</v>
      </c>
    </row>
  </sheetData>
  <mergeCells count="8">
    <mergeCell ref="A22:A25"/>
    <mergeCell ref="A4:C4"/>
    <mergeCell ref="A1:B1"/>
    <mergeCell ref="B2:C2"/>
    <mergeCell ref="A6:B6"/>
    <mergeCell ref="A7:A9"/>
    <mergeCell ref="A10:A18"/>
    <mergeCell ref="A19:A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DFB3-903C-FC40-AD3F-F43D600155AB}">
  <dimension ref="A1:C5"/>
  <sheetViews>
    <sheetView workbookViewId="0">
      <selection activeCell="C41" sqref="C41"/>
    </sheetView>
  </sheetViews>
  <sheetFormatPr baseColWidth="10" defaultRowHeight="16" x14ac:dyDescent="0.2"/>
  <cols>
    <col min="1" max="1" width="4.5" bestFit="1" customWidth="1"/>
    <col min="2" max="2" width="18.1640625" bestFit="1" customWidth="1"/>
    <col min="3" max="3" width="17.33203125" bestFit="1" customWidth="1"/>
  </cols>
  <sheetData>
    <row r="1" spans="1:3" x14ac:dyDescent="0.2">
      <c r="A1" s="19" t="s">
        <v>51</v>
      </c>
      <c r="B1" s="19" t="s">
        <v>52</v>
      </c>
      <c r="C1" s="19" t="s">
        <v>53</v>
      </c>
    </row>
    <row r="2" spans="1:3" x14ac:dyDescent="0.2">
      <c r="A2" s="1" t="s">
        <v>36</v>
      </c>
      <c r="B2" s="1" t="s">
        <v>47</v>
      </c>
      <c r="C2" s="18">
        <v>20770932980.700001</v>
      </c>
    </row>
    <row r="3" spans="1:3" x14ac:dyDescent="0.2">
      <c r="A3" s="1" t="s">
        <v>38</v>
      </c>
      <c r="B3" s="1" t="s">
        <v>48</v>
      </c>
      <c r="C3" s="18">
        <v>19358683457.529999</v>
      </c>
    </row>
    <row r="4" spans="1:3" x14ac:dyDescent="0.2">
      <c r="A4" s="1" t="s">
        <v>39</v>
      </c>
      <c r="B4" s="1" t="s">
        <v>49</v>
      </c>
      <c r="C4" s="18">
        <v>17684839447.400002</v>
      </c>
    </row>
    <row r="5" spans="1:3" x14ac:dyDescent="0.2">
      <c r="A5" s="1" t="s">
        <v>41</v>
      </c>
      <c r="B5" s="1" t="s">
        <v>50</v>
      </c>
      <c r="C5" s="18">
        <v>2844927419.5049996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2C70-ECEA-8743-BFC5-3350F31B8488}">
  <dimension ref="A1:Q115"/>
  <sheetViews>
    <sheetView tabSelected="1" zoomScale="110" zoomScaleNormal="110" workbookViewId="0">
      <selection activeCell="J12" sqref="J12"/>
    </sheetView>
  </sheetViews>
  <sheetFormatPr baseColWidth="10" defaultRowHeight="16" x14ac:dyDescent="0.2"/>
  <cols>
    <col min="3" max="3" width="14" bestFit="1" customWidth="1"/>
    <col min="4" max="4" width="29.5" bestFit="1" customWidth="1"/>
    <col min="5" max="5" width="18.33203125" bestFit="1" customWidth="1"/>
    <col min="6" max="9" width="13.83203125" customWidth="1"/>
    <col min="10" max="10" width="21.1640625" bestFit="1" customWidth="1"/>
    <col min="11" max="11" width="16" bestFit="1" customWidth="1"/>
    <col min="12" max="16" width="5.33203125" bestFit="1" customWidth="1"/>
    <col min="17" max="17" width="10.5" bestFit="1" customWidth="1"/>
  </cols>
  <sheetData>
    <row r="1" spans="1:17" x14ac:dyDescent="0.2">
      <c r="A1" s="4" t="s">
        <v>57</v>
      </c>
      <c r="B1" s="4" t="s">
        <v>58</v>
      </c>
      <c r="C1" s="4" t="s">
        <v>64</v>
      </c>
      <c r="D1" s="4" t="s">
        <v>23</v>
      </c>
      <c r="E1" s="4" t="s">
        <v>26</v>
      </c>
      <c r="F1" s="4" t="s">
        <v>24</v>
      </c>
      <c r="G1" s="4" t="s">
        <v>25</v>
      </c>
      <c r="J1" s="20" t="s">
        <v>62</v>
      </c>
      <c r="K1" s="20" t="s">
        <v>59</v>
      </c>
    </row>
    <row r="2" spans="1:17" x14ac:dyDescent="0.2">
      <c r="A2" t="s">
        <v>36</v>
      </c>
      <c r="B2" s="5" t="s">
        <v>63</v>
      </c>
      <c r="C2" s="5" t="s">
        <v>4</v>
      </c>
      <c r="D2" s="2">
        <v>0.5</v>
      </c>
      <c r="E2" s="1">
        <v>2.66</v>
      </c>
      <c r="F2" s="2">
        <v>0.52</v>
      </c>
      <c r="G2" s="1" t="s">
        <v>31</v>
      </c>
      <c r="J2" s="20" t="s">
        <v>61</v>
      </c>
      <c r="K2" t="s">
        <v>54</v>
      </c>
      <c r="L2" t="s">
        <v>39</v>
      </c>
      <c r="M2" t="s">
        <v>38</v>
      </c>
      <c r="N2" t="s">
        <v>55</v>
      </c>
      <c r="O2" t="s">
        <v>36</v>
      </c>
      <c r="P2" t="s">
        <v>56</v>
      </c>
      <c r="Q2" t="s">
        <v>60</v>
      </c>
    </row>
    <row r="3" spans="1:17" x14ac:dyDescent="0.2">
      <c r="A3" t="s">
        <v>36</v>
      </c>
      <c r="B3" s="5" t="s">
        <v>63</v>
      </c>
      <c r="C3" s="5" t="s">
        <v>14</v>
      </c>
      <c r="D3" s="3">
        <v>0.125</v>
      </c>
      <c r="E3" s="1">
        <v>2.27</v>
      </c>
      <c r="F3" s="2">
        <v>0.11</v>
      </c>
      <c r="G3" s="1" t="s">
        <v>32</v>
      </c>
      <c r="J3" s="21" t="s">
        <v>4</v>
      </c>
      <c r="K3" s="22">
        <v>6.86</v>
      </c>
      <c r="L3" s="22">
        <v>6.16</v>
      </c>
      <c r="M3" s="22">
        <v>6.37</v>
      </c>
      <c r="N3" s="22">
        <v>6.83</v>
      </c>
      <c r="O3" s="22">
        <v>5.36</v>
      </c>
      <c r="P3" s="22">
        <v>6.88</v>
      </c>
      <c r="Q3" s="22">
        <v>38.46</v>
      </c>
    </row>
    <row r="4" spans="1:17" x14ac:dyDescent="0.2">
      <c r="A4" t="s">
        <v>36</v>
      </c>
      <c r="B4" s="5" t="s">
        <v>63</v>
      </c>
      <c r="C4" s="5" t="s">
        <v>18</v>
      </c>
      <c r="D4" s="3">
        <v>0.375</v>
      </c>
      <c r="E4" s="1">
        <v>8.32</v>
      </c>
      <c r="F4" s="2">
        <v>0.98</v>
      </c>
      <c r="G4" s="1" t="s">
        <v>34</v>
      </c>
      <c r="J4" s="23" t="s">
        <v>5</v>
      </c>
      <c r="K4" s="22">
        <v>6.86</v>
      </c>
      <c r="L4" s="22">
        <v>6.16</v>
      </c>
      <c r="M4" s="22">
        <v>6.37</v>
      </c>
      <c r="N4" s="22">
        <v>6.83</v>
      </c>
      <c r="O4" s="22">
        <v>5.36</v>
      </c>
      <c r="P4" s="22">
        <v>6.88</v>
      </c>
      <c r="Q4" s="22">
        <v>38.46</v>
      </c>
    </row>
    <row r="5" spans="1:17" x14ac:dyDescent="0.2">
      <c r="A5" t="s">
        <v>36</v>
      </c>
      <c r="B5" s="5" t="s">
        <v>4</v>
      </c>
      <c r="C5" s="5" t="s">
        <v>5</v>
      </c>
      <c r="D5" s="3">
        <v>0.1963</v>
      </c>
      <c r="E5" s="1">
        <v>5.36</v>
      </c>
      <c r="F5" s="2">
        <v>0.83</v>
      </c>
      <c r="G5" s="1" t="s">
        <v>31</v>
      </c>
      <c r="J5" s="21" t="s">
        <v>60</v>
      </c>
      <c r="K5" s="22">
        <v>6.86</v>
      </c>
      <c r="L5" s="22">
        <v>6.16</v>
      </c>
      <c r="M5" s="22">
        <v>6.37</v>
      </c>
      <c r="N5" s="22">
        <v>6.83</v>
      </c>
      <c r="O5" s="22">
        <v>5.36</v>
      </c>
      <c r="P5" s="22">
        <v>6.88</v>
      </c>
      <c r="Q5" s="22">
        <v>38.46</v>
      </c>
    </row>
    <row r="6" spans="1:17" x14ac:dyDescent="0.2">
      <c r="A6" t="s">
        <v>36</v>
      </c>
      <c r="B6" s="5" t="s">
        <v>4</v>
      </c>
      <c r="C6" s="5" t="s">
        <v>6</v>
      </c>
      <c r="D6" s="3">
        <v>0.1963</v>
      </c>
      <c r="E6" s="1">
        <v>0</v>
      </c>
      <c r="F6" s="1">
        <v>0</v>
      </c>
      <c r="G6" s="1" t="s">
        <v>32</v>
      </c>
    </row>
    <row r="7" spans="1:17" x14ac:dyDescent="0.2">
      <c r="A7" t="s">
        <v>36</v>
      </c>
      <c r="B7" s="5" t="s">
        <v>4</v>
      </c>
      <c r="C7" s="5" t="s">
        <v>7</v>
      </c>
      <c r="D7" s="3">
        <v>0.1963</v>
      </c>
      <c r="E7" s="1">
        <v>0</v>
      </c>
      <c r="F7" s="1">
        <v>0</v>
      </c>
      <c r="G7" s="1" t="s">
        <v>32</v>
      </c>
    </row>
    <row r="8" spans="1:17" x14ac:dyDescent="0.2">
      <c r="A8" t="s">
        <v>36</v>
      </c>
      <c r="B8" s="5" t="s">
        <v>4</v>
      </c>
      <c r="C8" s="5" t="s">
        <v>8</v>
      </c>
      <c r="D8" s="3">
        <v>8.48E-2</v>
      </c>
      <c r="E8" s="1">
        <v>6.95</v>
      </c>
      <c r="F8" s="2">
        <v>0.75</v>
      </c>
      <c r="G8" s="1" t="s">
        <v>30</v>
      </c>
    </row>
    <row r="9" spans="1:17" x14ac:dyDescent="0.2">
      <c r="A9" t="s">
        <v>36</v>
      </c>
      <c r="B9" s="5" t="s">
        <v>4</v>
      </c>
      <c r="C9" s="5" t="s">
        <v>9</v>
      </c>
      <c r="D9" s="3">
        <v>8.48E-2</v>
      </c>
      <c r="E9" s="1">
        <v>8.3000000000000007</v>
      </c>
      <c r="F9" s="2">
        <v>1</v>
      </c>
      <c r="G9" s="1" t="s">
        <v>30</v>
      </c>
    </row>
    <row r="10" spans="1:17" x14ac:dyDescent="0.2">
      <c r="A10" t="s">
        <v>36</v>
      </c>
      <c r="B10" s="5" t="s">
        <v>4</v>
      </c>
      <c r="C10" s="5" t="s">
        <v>10</v>
      </c>
      <c r="D10" s="3">
        <v>6.4600000000000005E-2</v>
      </c>
      <c r="E10" s="1">
        <v>6.33</v>
      </c>
      <c r="F10" s="2">
        <v>0.5</v>
      </c>
      <c r="G10" s="1" t="s">
        <v>31</v>
      </c>
    </row>
    <row r="11" spans="1:17" x14ac:dyDescent="0.2">
      <c r="A11" t="s">
        <v>36</v>
      </c>
      <c r="B11" s="5" t="s">
        <v>4</v>
      </c>
      <c r="C11" s="5" t="s">
        <v>11</v>
      </c>
      <c r="D11" s="3">
        <v>6.4600000000000005E-2</v>
      </c>
      <c r="E11" s="1">
        <v>6.45</v>
      </c>
      <c r="F11" s="2">
        <v>0.5</v>
      </c>
      <c r="G11" s="1" t="s">
        <v>30</v>
      </c>
    </row>
    <row r="12" spans="1:17" x14ac:dyDescent="0.2">
      <c r="A12" t="s">
        <v>36</v>
      </c>
      <c r="B12" s="5" t="s">
        <v>4</v>
      </c>
      <c r="C12" s="5" t="s">
        <v>12</v>
      </c>
      <c r="D12" s="3">
        <v>5.7099999999999998E-2</v>
      </c>
      <c r="E12" s="1">
        <v>1.5</v>
      </c>
      <c r="F12" s="2">
        <v>0</v>
      </c>
      <c r="G12" s="1" t="s">
        <v>32</v>
      </c>
    </row>
    <row r="13" spans="1:17" x14ac:dyDescent="0.2">
      <c r="A13" t="s">
        <v>36</v>
      </c>
      <c r="B13" s="5" t="s">
        <v>4</v>
      </c>
      <c r="C13" s="5" t="s">
        <v>13</v>
      </c>
      <c r="D13" s="3">
        <v>5.5399999999999998E-2</v>
      </c>
      <c r="E13" s="1">
        <v>1.5</v>
      </c>
      <c r="F13" s="2">
        <v>0</v>
      </c>
      <c r="G13" s="1" t="s">
        <v>31</v>
      </c>
    </row>
    <row r="14" spans="1:17" x14ac:dyDescent="0.2">
      <c r="A14" t="s">
        <v>36</v>
      </c>
      <c r="B14" s="5" t="s">
        <v>14</v>
      </c>
      <c r="C14" s="5" t="s">
        <v>15</v>
      </c>
      <c r="D14" s="3">
        <v>0.44440000000000002</v>
      </c>
      <c r="E14" s="1">
        <v>1</v>
      </c>
      <c r="F14" s="2">
        <v>0</v>
      </c>
      <c r="G14" s="1" t="s">
        <v>32</v>
      </c>
    </row>
    <row r="15" spans="1:17" x14ac:dyDescent="0.2">
      <c r="A15" t="s">
        <v>36</v>
      </c>
      <c r="B15" s="5" t="s">
        <v>14</v>
      </c>
      <c r="C15" s="5" t="s">
        <v>16</v>
      </c>
      <c r="D15" s="3">
        <v>0.31659999999999999</v>
      </c>
      <c r="E15" s="1">
        <v>3.91</v>
      </c>
      <c r="F15" s="2">
        <v>0.26</v>
      </c>
      <c r="G15" s="1" t="s">
        <v>31</v>
      </c>
    </row>
    <row r="16" spans="1:17" x14ac:dyDescent="0.2">
      <c r="A16" t="s">
        <v>36</v>
      </c>
      <c r="B16" s="5" t="s">
        <v>14</v>
      </c>
      <c r="C16" s="5" t="s">
        <v>17</v>
      </c>
      <c r="D16" s="3">
        <v>0.23899999999999999</v>
      </c>
      <c r="E16" s="1">
        <v>3</v>
      </c>
      <c r="F16" s="2">
        <v>0</v>
      </c>
      <c r="G16" s="1" t="s">
        <v>32</v>
      </c>
    </row>
    <row r="17" spans="1:7" x14ac:dyDescent="0.2">
      <c r="A17" t="s">
        <v>36</v>
      </c>
      <c r="B17" s="5" t="s">
        <v>18</v>
      </c>
      <c r="C17" s="5" t="s">
        <v>19</v>
      </c>
      <c r="D17" s="2">
        <v>0.35</v>
      </c>
      <c r="E17" s="1">
        <v>8.36</v>
      </c>
      <c r="F17" s="2">
        <v>1</v>
      </c>
      <c r="G17" s="1" t="s">
        <v>33</v>
      </c>
    </row>
    <row r="18" spans="1:7" x14ac:dyDescent="0.2">
      <c r="A18" t="s">
        <v>36</v>
      </c>
      <c r="B18" s="5" t="s">
        <v>18</v>
      </c>
      <c r="C18" s="5" t="s">
        <v>20</v>
      </c>
      <c r="D18" s="3">
        <v>0.24940000000000001</v>
      </c>
      <c r="E18" s="1">
        <v>8.36</v>
      </c>
      <c r="F18" s="2">
        <v>1</v>
      </c>
      <c r="G18" s="1" t="s">
        <v>34</v>
      </c>
    </row>
    <row r="19" spans="1:7" x14ac:dyDescent="0.2">
      <c r="A19" t="s">
        <v>36</v>
      </c>
      <c r="B19" s="5" t="s">
        <v>18</v>
      </c>
      <c r="C19" s="5" t="s">
        <v>21</v>
      </c>
      <c r="D19" s="3">
        <v>0.24940000000000001</v>
      </c>
      <c r="E19" s="1">
        <v>8.3800000000000008</v>
      </c>
      <c r="F19" s="2">
        <v>1</v>
      </c>
      <c r="G19" s="1" t="s">
        <v>34</v>
      </c>
    </row>
    <row r="20" spans="1:7" x14ac:dyDescent="0.2">
      <c r="A20" t="s">
        <v>36</v>
      </c>
      <c r="B20" s="5" t="s">
        <v>18</v>
      </c>
      <c r="C20" s="5" t="s">
        <v>22</v>
      </c>
      <c r="D20" s="3">
        <v>0.1512</v>
      </c>
      <c r="E20" s="1">
        <v>8.0399999999999991</v>
      </c>
      <c r="F20" s="2">
        <v>0.91</v>
      </c>
      <c r="G20" s="1" t="s">
        <v>34</v>
      </c>
    </row>
    <row r="21" spans="1:7" x14ac:dyDescent="0.2">
      <c r="A21" t="s">
        <v>38</v>
      </c>
      <c r="B21" s="5" t="s">
        <v>63</v>
      </c>
      <c r="C21" s="5" t="s">
        <v>4</v>
      </c>
      <c r="D21" s="2">
        <v>0.5</v>
      </c>
      <c r="E21" s="1">
        <v>4.3499999999999996</v>
      </c>
      <c r="F21" s="2">
        <v>0.62</v>
      </c>
      <c r="G21" s="1" t="s">
        <v>31</v>
      </c>
    </row>
    <row r="22" spans="1:7" x14ac:dyDescent="0.2">
      <c r="A22" t="s">
        <v>38</v>
      </c>
      <c r="B22" s="5" t="s">
        <v>63</v>
      </c>
      <c r="C22" s="5" t="s">
        <v>14</v>
      </c>
      <c r="D22" s="3">
        <v>0.125</v>
      </c>
      <c r="E22" s="1">
        <v>6.8</v>
      </c>
      <c r="F22" s="2">
        <v>0.59</v>
      </c>
      <c r="G22" s="1" t="s">
        <v>32</v>
      </c>
    </row>
    <row r="23" spans="1:7" x14ac:dyDescent="0.2">
      <c r="A23" t="s">
        <v>38</v>
      </c>
      <c r="B23" s="5" t="s">
        <v>63</v>
      </c>
      <c r="C23" s="5" t="s">
        <v>18</v>
      </c>
      <c r="D23" s="3">
        <v>0.375</v>
      </c>
      <c r="E23" s="1">
        <v>6.96</v>
      </c>
      <c r="F23" s="2">
        <v>0.99</v>
      </c>
      <c r="G23" s="1" t="s">
        <v>34</v>
      </c>
    </row>
    <row r="24" spans="1:7" x14ac:dyDescent="0.2">
      <c r="A24" t="s">
        <v>38</v>
      </c>
      <c r="B24" s="5" t="s">
        <v>4</v>
      </c>
      <c r="C24" s="5" t="s">
        <v>5</v>
      </c>
      <c r="D24" s="3">
        <v>0.1963</v>
      </c>
      <c r="E24" s="1">
        <v>6.37</v>
      </c>
      <c r="F24" s="2">
        <v>0.83</v>
      </c>
      <c r="G24" s="1" t="s">
        <v>31</v>
      </c>
    </row>
    <row r="25" spans="1:7" x14ac:dyDescent="0.2">
      <c r="A25" t="s">
        <v>38</v>
      </c>
      <c r="B25" s="5" t="s">
        <v>4</v>
      </c>
      <c r="C25" s="5" t="s">
        <v>6</v>
      </c>
      <c r="D25" s="3">
        <v>0.1963</v>
      </c>
      <c r="E25" s="1">
        <v>3.3</v>
      </c>
      <c r="F25" s="1">
        <v>50</v>
      </c>
      <c r="G25" s="1" t="s">
        <v>32</v>
      </c>
    </row>
    <row r="26" spans="1:7" x14ac:dyDescent="0.2">
      <c r="A26" t="s">
        <v>38</v>
      </c>
      <c r="B26" s="5" t="s">
        <v>4</v>
      </c>
      <c r="C26" s="5" t="s">
        <v>7</v>
      </c>
      <c r="D26" s="3">
        <v>0.1963</v>
      </c>
      <c r="E26" s="1">
        <v>3</v>
      </c>
      <c r="F26" s="1">
        <v>0</v>
      </c>
      <c r="G26" s="1" t="s">
        <v>32</v>
      </c>
    </row>
    <row r="27" spans="1:7" x14ac:dyDescent="0.2">
      <c r="A27" t="s">
        <v>38</v>
      </c>
      <c r="B27" s="5" t="s">
        <v>4</v>
      </c>
      <c r="C27" s="5" t="s">
        <v>8</v>
      </c>
      <c r="D27" s="3">
        <v>8.48E-2</v>
      </c>
      <c r="E27" s="1">
        <v>6.59</v>
      </c>
      <c r="F27" s="2">
        <v>0.75</v>
      </c>
      <c r="G27" s="1" t="s">
        <v>30</v>
      </c>
    </row>
    <row r="28" spans="1:7" x14ac:dyDescent="0.2">
      <c r="A28" t="s">
        <v>38</v>
      </c>
      <c r="B28" s="5" t="s">
        <v>4</v>
      </c>
      <c r="C28" s="5" t="s">
        <v>9</v>
      </c>
      <c r="D28" s="3">
        <v>8.48E-2</v>
      </c>
      <c r="E28" s="1">
        <v>5.91</v>
      </c>
      <c r="F28" s="2">
        <v>0.67</v>
      </c>
      <c r="G28" s="1" t="s">
        <v>30</v>
      </c>
    </row>
    <row r="29" spans="1:7" x14ac:dyDescent="0.2">
      <c r="A29" t="s">
        <v>38</v>
      </c>
      <c r="B29" s="5" t="s">
        <v>4</v>
      </c>
      <c r="C29" s="5" t="s">
        <v>10</v>
      </c>
      <c r="D29" s="3">
        <v>6.4600000000000005E-2</v>
      </c>
      <c r="E29" s="1">
        <v>0</v>
      </c>
      <c r="F29" s="2">
        <v>0</v>
      </c>
      <c r="G29" s="1" t="s">
        <v>31</v>
      </c>
    </row>
    <row r="30" spans="1:7" x14ac:dyDescent="0.2">
      <c r="A30" t="s">
        <v>38</v>
      </c>
      <c r="B30" s="5" t="s">
        <v>4</v>
      </c>
      <c r="C30" s="5" t="s">
        <v>11</v>
      </c>
      <c r="D30" s="3">
        <v>6.4600000000000005E-2</v>
      </c>
      <c r="E30" s="1">
        <v>6.68</v>
      </c>
      <c r="F30" s="2">
        <v>0.75</v>
      </c>
      <c r="G30" s="1" t="s">
        <v>30</v>
      </c>
    </row>
    <row r="31" spans="1:7" x14ac:dyDescent="0.2">
      <c r="A31" t="s">
        <v>38</v>
      </c>
      <c r="B31" s="5" t="s">
        <v>4</v>
      </c>
      <c r="C31" s="5" t="s">
        <v>12</v>
      </c>
      <c r="D31" s="3">
        <v>5.7099999999999998E-2</v>
      </c>
      <c r="E31" s="1">
        <v>7.94</v>
      </c>
      <c r="F31" s="2">
        <v>0.67</v>
      </c>
      <c r="G31" s="1" t="s">
        <v>32</v>
      </c>
    </row>
    <row r="32" spans="1:7" x14ac:dyDescent="0.2">
      <c r="A32" t="s">
        <v>38</v>
      </c>
      <c r="B32" s="5" t="s">
        <v>4</v>
      </c>
      <c r="C32" s="5" t="s">
        <v>13</v>
      </c>
      <c r="D32" s="3">
        <v>5.5399999999999998E-2</v>
      </c>
      <c r="E32" s="1">
        <v>3</v>
      </c>
      <c r="F32" s="2">
        <v>0</v>
      </c>
      <c r="G32" s="1" t="s">
        <v>31</v>
      </c>
    </row>
    <row r="33" spans="1:7" x14ac:dyDescent="0.2">
      <c r="A33" t="s">
        <v>38</v>
      </c>
      <c r="B33" s="5" t="s">
        <v>14</v>
      </c>
      <c r="C33" s="5" t="s">
        <v>15</v>
      </c>
      <c r="D33" s="3">
        <v>0.44440000000000002</v>
      </c>
      <c r="E33" s="1">
        <v>9.1199999999999992</v>
      </c>
      <c r="F33" s="2">
        <v>1</v>
      </c>
      <c r="G33" s="1" t="s">
        <v>32</v>
      </c>
    </row>
    <row r="34" spans="1:7" x14ac:dyDescent="0.2">
      <c r="A34" t="s">
        <v>38</v>
      </c>
      <c r="B34" s="5" t="s">
        <v>14</v>
      </c>
      <c r="C34" s="5" t="s">
        <v>16</v>
      </c>
      <c r="D34" s="3">
        <v>0.31659999999999999</v>
      </c>
      <c r="E34" s="1">
        <v>7.1</v>
      </c>
      <c r="F34" s="2">
        <v>0.68</v>
      </c>
      <c r="G34" s="1" t="s">
        <v>31</v>
      </c>
    </row>
    <row r="35" spans="1:7" x14ac:dyDescent="0.2">
      <c r="A35" t="s">
        <v>38</v>
      </c>
      <c r="B35" s="5" t="s">
        <v>14</v>
      </c>
      <c r="C35" s="5" t="s">
        <v>17</v>
      </c>
      <c r="D35" s="3">
        <v>0.23899999999999999</v>
      </c>
      <c r="E35" s="1">
        <v>3</v>
      </c>
      <c r="F35" s="2">
        <v>0</v>
      </c>
      <c r="G35" s="1" t="s">
        <v>32</v>
      </c>
    </row>
    <row r="36" spans="1:7" x14ac:dyDescent="0.2">
      <c r="A36" t="s">
        <v>38</v>
      </c>
      <c r="B36" s="5" t="s">
        <v>18</v>
      </c>
      <c r="C36" s="5" t="s">
        <v>19</v>
      </c>
      <c r="D36" s="2">
        <v>0.35</v>
      </c>
      <c r="E36" s="1">
        <v>5.27</v>
      </c>
      <c r="F36" s="2">
        <v>1</v>
      </c>
      <c r="G36" s="1" t="s">
        <v>33</v>
      </c>
    </row>
    <row r="37" spans="1:7" x14ac:dyDescent="0.2">
      <c r="A37" t="s">
        <v>38</v>
      </c>
      <c r="B37" s="5" t="s">
        <v>18</v>
      </c>
      <c r="C37" s="5" t="s">
        <v>20</v>
      </c>
      <c r="D37" s="3">
        <v>0.24940000000000001</v>
      </c>
      <c r="E37" s="1">
        <v>7.78</v>
      </c>
      <c r="F37" s="2">
        <v>1</v>
      </c>
      <c r="G37" s="1" t="s">
        <v>34</v>
      </c>
    </row>
    <row r="38" spans="1:7" x14ac:dyDescent="0.2">
      <c r="A38" t="s">
        <v>38</v>
      </c>
      <c r="B38" s="5" t="s">
        <v>18</v>
      </c>
      <c r="C38" s="5" t="s">
        <v>21</v>
      </c>
      <c r="D38" s="3">
        <v>0.24940000000000001</v>
      </c>
      <c r="E38" s="1">
        <v>7.16</v>
      </c>
      <c r="F38" s="2">
        <v>0.93</v>
      </c>
      <c r="G38" s="1" t="s">
        <v>34</v>
      </c>
    </row>
    <row r="39" spans="1:7" x14ac:dyDescent="0.2">
      <c r="A39" t="s">
        <v>38</v>
      </c>
      <c r="B39" s="5" t="s">
        <v>18</v>
      </c>
      <c r="C39" s="5" t="s">
        <v>22</v>
      </c>
      <c r="D39" s="3">
        <v>0.1512</v>
      </c>
      <c r="E39" s="1">
        <v>9.7100000000000009</v>
      </c>
      <c r="F39" s="2">
        <v>1</v>
      </c>
      <c r="G39" s="1" t="s">
        <v>34</v>
      </c>
    </row>
    <row r="40" spans="1:7" x14ac:dyDescent="0.2">
      <c r="A40" t="s">
        <v>39</v>
      </c>
      <c r="B40" s="5" t="s">
        <v>63</v>
      </c>
      <c r="C40" s="5" t="s">
        <v>4</v>
      </c>
      <c r="D40" s="2">
        <v>0.5</v>
      </c>
      <c r="E40" s="1">
        <v>4.74</v>
      </c>
      <c r="F40" s="2">
        <v>0.69</v>
      </c>
      <c r="G40" s="1" t="s">
        <v>31</v>
      </c>
    </row>
    <row r="41" spans="1:7" x14ac:dyDescent="0.2">
      <c r="A41" t="s">
        <v>39</v>
      </c>
      <c r="B41" s="5" t="s">
        <v>63</v>
      </c>
      <c r="C41" s="5" t="s">
        <v>14</v>
      </c>
      <c r="D41" s="3">
        <v>0.125</v>
      </c>
      <c r="E41" s="1">
        <v>5.79</v>
      </c>
      <c r="F41" s="2">
        <v>0.48</v>
      </c>
      <c r="G41" s="1" t="s">
        <v>32</v>
      </c>
    </row>
    <row r="42" spans="1:7" x14ac:dyDescent="0.2">
      <c r="A42" t="s">
        <v>39</v>
      </c>
      <c r="B42" s="5" t="s">
        <v>63</v>
      </c>
      <c r="C42" s="5" t="s">
        <v>18</v>
      </c>
      <c r="D42" s="3">
        <v>0.375</v>
      </c>
      <c r="E42" s="1">
        <v>7.69</v>
      </c>
      <c r="F42" s="2">
        <v>1</v>
      </c>
      <c r="G42" s="1" t="s">
        <v>34</v>
      </c>
    </row>
    <row r="43" spans="1:7" x14ac:dyDescent="0.2">
      <c r="A43" t="s">
        <v>39</v>
      </c>
      <c r="B43" s="5" t="s">
        <v>4</v>
      </c>
      <c r="C43" s="5" t="s">
        <v>5</v>
      </c>
      <c r="D43" s="3">
        <v>0.1963</v>
      </c>
      <c r="E43" s="1">
        <v>6.16</v>
      </c>
      <c r="F43" s="2">
        <v>1</v>
      </c>
      <c r="G43" s="1" t="s">
        <v>31</v>
      </c>
    </row>
    <row r="44" spans="1:7" x14ac:dyDescent="0.2">
      <c r="A44" t="s">
        <v>39</v>
      </c>
      <c r="B44" s="5" t="s">
        <v>4</v>
      </c>
      <c r="C44" s="5" t="s">
        <v>6</v>
      </c>
      <c r="D44" s="3">
        <v>0.1963</v>
      </c>
      <c r="E44" s="1">
        <v>5.19</v>
      </c>
      <c r="F44" s="1">
        <v>75</v>
      </c>
      <c r="G44" s="1" t="s">
        <v>32</v>
      </c>
    </row>
    <row r="45" spans="1:7" x14ac:dyDescent="0.2">
      <c r="A45" t="s">
        <v>39</v>
      </c>
      <c r="B45" s="5" t="s">
        <v>4</v>
      </c>
      <c r="C45" s="5" t="s">
        <v>7</v>
      </c>
      <c r="D45" s="3">
        <v>0.1963</v>
      </c>
      <c r="E45" s="1">
        <v>3</v>
      </c>
      <c r="F45" s="1">
        <v>0</v>
      </c>
      <c r="G45" s="1" t="s">
        <v>32</v>
      </c>
    </row>
    <row r="46" spans="1:7" x14ac:dyDescent="0.2">
      <c r="A46" t="s">
        <v>39</v>
      </c>
      <c r="B46" s="5" t="s">
        <v>4</v>
      </c>
      <c r="C46" s="5" t="s">
        <v>8</v>
      </c>
      <c r="D46" s="3">
        <v>8.48E-2</v>
      </c>
      <c r="E46" s="1">
        <v>5.52</v>
      </c>
      <c r="F46" s="2">
        <v>1</v>
      </c>
      <c r="G46" s="1" t="s">
        <v>30</v>
      </c>
    </row>
    <row r="47" spans="1:7" x14ac:dyDescent="0.2">
      <c r="A47" t="s">
        <v>39</v>
      </c>
      <c r="B47" s="5" t="s">
        <v>4</v>
      </c>
      <c r="C47" s="5" t="s">
        <v>9</v>
      </c>
      <c r="D47" s="3">
        <v>8.48E-2</v>
      </c>
      <c r="E47" s="1">
        <v>4.5</v>
      </c>
      <c r="F47" s="2">
        <v>0.67</v>
      </c>
      <c r="G47" s="1" t="s">
        <v>30</v>
      </c>
    </row>
    <row r="48" spans="1:7" x14ac:dyDescent="0.2">
      <c r="A48" t="s">
        <v>39</v>
      </c>
      <c r="B48" s="5" t="s">
        <v>4</v>
      </c>
      <c r="C48" s="5" t="s">
        <v>10</v>
      </c>
      <c r="D48" s="3">
        <v>6.4600000000000005E-2</v>
      </c>
      <c r="E48" s="1">
        <v>7.27</v>
      </c>
      <c r="F48" s="2">
        <v>0.5</v>
      </c>
      <c r="G48" s="1" t="s">
        <v>31</v>
      </c>
    </row>
    <row r="49" spans="1:7" x14ac:dyDescent="0.2">
      <c r="A49" t="s">
        <v>39</v>
      </c>
      <c r="B49" s="5" t="s">
        <v>4</v>
      </c>
      <c r="C49" s="5" t="s">
        <v>11</v>
      </c>
      <c r="D49" s="3">
        <v>6.4600000000000005E-2</v>
      </c>
      <c r="E49" s="1">
        <v>5.8</v>
      </c>
      <c r="F49" s="2">
        <v>0.5</v>
      </c>
      <c r="G49" s="1" t="s">
        <v>30</v>
      </c>
    </row>
    <row r="50" spans="1:7" x14ac:dyDescent="0.2">
      <c r="A50" t="s">
        <v>39</v>
      </c>
      <c r="B50" s="5" t="s">
        <v>4</v>
      </c>
      <c r="C50" s="5" t="s">
        <v>12</v>
      </c>
      <c r="D50" s="3">
        <v>5.7099999999999998E-2</v>
      </c>
      <c r="E50" s="1">
        <v>5.22</v>
      </c>
      <c r="F50" s="2">
        <v>0.17</v>
      </c>
      <c r="G50" s="1" t="s">
        <v>32</v>
      </c>
    </row>
    <row r="51" spans="1:7" x14ac:dyDescent="0.2">
      <c r="A51" t="s">
        <v>39</v>
      </c>
      <c r="B51" s="5" t="s">
        <v>4</v>
      </c>
      <c r="C51" s="5" t="s">
        <v>13</v>
      </c>
      <c r="D51" s="3">
        <v>5.5399999999999998E-2</v>
      </c>
      <c r="E51" s="1">
        <v>1.5</v>
      </c>
      <c r="F51" s="2">
        <v>0</v>
      </c>
      <c r="G51" s="1" t="s">
        <v>31</v>
      </c>
    </row>
    <row r="52" spans="1:7" x14ac:dyDescent="0.2">
      <c r="A52" t="s">
        <v>39</v>
      </c>
      <c r="B52" s="5" t="s">
        <v>14</v>
      </c>
      <c r="C52" s="5" t="s">
        <v>15</v>
      </c>
      <c r="D52" s="3">
        <v>0.44440000000000002</v>
      </c>
      <c r="E52" s="1">
        <v>9.1199999999999992</v>
      </c>
      <c r="F52" s="2">
        <v>1</v>
      </c>
      <c r="G52" s="1" t="s">
        <v>32</v>
      </c>
    </row>
    <row r="53" spans="1:7" x14ac:dyDescent="0.2">
      <c r="A53" t="s">
        <v>39</v>
      </c>
      <c r="B53" s="5" t="s">
        <v>14</v>
      </c>
      <c r="C53" s="5" t="s">
        <v>16</v>
      </c>
      <c r="D53" s="3">
        <v>0.31659999999999999</v>
      </c>
      <c r="E53" s="1">
        <v>4.0999999999999996</v>
      </c>
      <c r="F53" s="2">
        <v>0.42</v>
      </c>
      <c r="G53" s="1" t="s">
        <v>31</v>
      </c>
    </row>
    <row r="54" spans="1:7" x14ac:dyDescent="0.2">
      <c r="A54" t="s">
        <v>39</v>
      </c>
      <c r="B54" s="5" t="s">
        <v>14</v>
      </c>
      <c r="C54" s="5" t="s">
        <v>17</v>
      </c>
      <c r="D54" s="3">
        <v>0.23899999999999999</v>
      </c>
      <c r="E54" s="1">
        <v>3</v>
      </c>
      <c r="F54" s="2">
        <v>0</v>
      </c>
      <c r="G54" s="1" t="s">
        <v>32</v>
      </c>
    </row>
    <row r="55" spans="1:7" x14ac:dyDescent="0.2">
      <c r="A55" t="s">
        <v>39</v>
      </c>
      <c r="B55" s="5" t="s">
        <v>18</v>
      </c>
      <c r="C55" s="5" t="s">
        <v>19</v>
      </c>
      <c r="D55" s="2">
        <v>0.35</v>
      </c>
      <c r="E55" s="1">
        <v>7.32</v>
      </c>
      <c r="F55" s="2">
        <v>1</v>
      </c>
      <c r="G55" s="1" t="s">
        <v>33</v>
      </c>
    </row>
    <row r="56" spans="1:7" x14ac:dyDescent="0.2">
      <c r="A56" t="s">
        <v>39</v>
      </c>
      <c r="B56" s="5" t="s">
        <v>18</v>
      </c>
      <c r="C56" s="5" t="s">
        <v>20</v>
      </c>
      <c r="D56" s="3">
        <v>0.24940000000000001</v>
      </c>
      <c r="E56" s="1">
        <v>7.51</v>
      </c>
      <c r="F56" s="2">
        <v>1</v>
      </c>
      <c r="G56" s="1" t="s">
        <v>34</v>
      </c>
    </row>
    <row r="57" spans="1:7" x14ac:dyDescent="0.2">
      <c r="A57" t="s">
        <v>39</v>
      </c>
      <c r="B57" s="5" t="s">
        <v>18</v>
      </c>
      <c r="C57" s="5" t="s">
        <v>21</v>
      </c>
      <c r="D57" s="3">
        <v>0.24940000000000001</v>
      </c>
      <c r="E57" s="1">
        <v>8.3000000000000007</v>
      </c>
      <c r="F57" s="2">
        <v>1</v>
      </c>
      <c r="G57" s="1" t="s">
        <v>34</v>
      </c>
    </row>
    <row r="58" spans="1:7" x14ac:dyDescent="0.2">
      <c r="A58" t="s">
        <v>39</v>
      </c>
      <c r="B58" s="5" t="s">
        <v>18</v>
      </c>
      <c r="C58" s="5" t="s">
        <v>22</v>
      </c>
      <c r="D58" s="3">
        <v>0.1512</v>
      </c>
      <c r="E58" s="1">
        <v>7.85</v>
      </c>
      <c r="F58" s="2">
        <v>1</v>
      </c>
      <c r="G58" s="1" t="s">
        <v>34</v>
      </c>
    </row>
    <row r="59" spans="1:7" x14ac:dyDescent="0.2">
      <c r="A59" t="s">
        <v>54</v>
      </c>
      <c r="B59" s="5" t="s">
        <v>63</v>
      </c>
      <c r="C59" s="5" t="s">
        <v>4</v>
      </c>
      <c r="D59" s="2">
        <v>0.5</v>
      </c>
      <c r="E59" s="1">
        <v>5.35</v>
      </c>
      <c r="F59" s="2">
        <v>0.67</v>
      </c>
      <c r="G59" s="1" t="s">
        <v>31</v>
      </c>
    </row>
    <row r="60" spans="1:7" x14ac:dyDescent="0.2">
      <c r="A60" t="s">
        <v>54</v>
      </c>
      <c r="B60" s="5" t="s">
        <v>63</v>
      </c>
      <c r="C60" s="5" t="s">
        <v>14</v>
      </c>
      <c r="D60" s="3">
        <v>0.125</v>
      </c>
      <c r="E60" s="1">
        <v>8.36</v>
      </c>
      <c r="F60" s="2">
        <v>0.73</v>
      </c>
      <c r="G60" s="1" t="s">
        <v>32</v>
      </c>
    </row>
    <row r="61" spans="1:7" x14ac:dyDescent="0.2">
      <c r="A61" t="s">
        <v>54</v>
      </c>
      <c r="B61" s="5" t="s">
        <v>63</v>
      </c>
      <c r="C61" s="5" t="s">
        <v>18</v>
      </c>
      <c r="D61" s="3">
        <v>0.375</v>
      </c>
      <c r="E61" s="1">
        <v>6.21</v>
      </c>
      <c r="F61" s="2">
        <v>0.99</v>
      </c>
      <c r="G61" s="1" t="s">
        <v>34</v>
      </c>
    </row>
    <row r="62" spans="1:7" x14ac:dyDescent="0.2">
      <c r="A62" t="s">
        <v>54</v>
      </c>
      <c r="B62" s="5" t="s">
        <v>4</v>
      </c>
      <c r="C62" s="5" t="s">
        <v>5</v>
      </c>
      <c r="D62" s="3">
        <v>0.1963</v>
      </c>
      <c r="E62" s="1">
        <v>6.86</v>
      </c>
      <c r="F62" s="2">
        <v>1</v>
      </c>
      <c r="G62" s="1" t="s">
        <v>31</v>
      </c>
    </row>
    <row r="63" spans="1:7" x14ac:dyDescent="0.2">
      <c r="A63" t="s">
        <v>54</v>
      </c>
      <c r="B63" s="5" t="s">
        <v>4</v>
      </c>
      <c r="C63" s="5" t="s">
        <v>6</v>
      </c>
      <c r="D63" s="3">
        <v>0.1963</v>
      </c>
      <c r="E63" s="1">
        <v>0</v>
      </c>
      <c r="F63" s="1">
        <v>0</v>
      </c>
      <c r="G63" s="1" t="s">
        <v>32</v>
      </c>
    </row>
    <row r="64" spans="1:7" x14ac:dyDescent="0.2">
      <c r="A64" t="s">
        <v>54</v>
      </c>
      <c r="B64" s="5" t="s">
        <v>4</v>
      </c>
      <c r="C64" s="5" t="s">
        <v>7</v>
      </c>
      <c r="D64" s="3">
        <v>0.1963</v>
      </c>
      <c r="E64" s="1">
        <v>10</v>
      </c>
      <c r="F64" s="1">
        <v>100</v>
      </c>
      <c r="G64" s="1" t="s">
        <v>32</v>
      </c>
    </row>
    <row r="65" spans="1:7" x14ac:dyDescent="0.2">
      <c r="A65" t="s">
        <v>54</v>
      </c>
      <c r="B65" s="5" t="s">
        <v>4</v>
      </c>
      <c r="C65" s="5" t="s">
        <v>8</v>
      </c>
      <c r="D65" s="3">
        <v>8.48E-2</v>
      </c>
      <c r="E65" s="1">
        <v>8.41</v>
      </c>
      <c r="F65" s="2">
        <v>1</v>
      </c>
      <c r="G65" s="1" t="s">
        <v>30</v>
      </c>
    </row>
    <row r="66" spans="1:7" x14ac:dyDescent="0.2">
      <c r="A66" t="s">
        <v>54</v>
      </c>
      <c r="B66" s="5" t="s">
        <v>4</v>
      </c>
      <c r="C66" s="5" t="s">
        <v>9</v>
      </c>
      <c r="D66" s="3">
        <v>8.48E-2</v>
      </c>
      <c r="E66" s="1">
        <v>9.67</v>
      </c>
      <c r="F66" s="2">
        <v>1</v>
      </c>
      <c r="G66" s="1" t="s">
        <v>30</v>
      </c>
    </row>
    <row r="67" spans="1:7" x14ac:dyDescent="0.2">
      <c r="A67" t="s">
        <v>54</v>
      </c>
      <c r="B67" s="5" t="s">
        <v>4</v>
      </c>
      <c r="C67" s="5" t="s">
        <v>10</v>
      </c>
      <c r="D67" s="3">
        <v>6.4600000000000005E-2</v>
      </c>
      <c r="E67" s="1">
        <v>7.79</v>
      </c>
      <c r="F67" s="2">
        <v>0.5</v>
      </c>
      <c r="G67" s="1" t="s">
        <v>31</v>
      </c>
    </row>
    <row r="68" spans="1:7" x14ac:dyDescent="0.2">
      <c r="A68" t="s">
        <v>54</v>
      </c>
      <c r="B68" s="5" t="s">
        <v>4</v>
      </c>
      <c r="C68" s="5" t="s">
        <v>11</v>
      </c>
      <c r="D68" s="3">
        <v>6.4600000000000005E-2</v>
      </c>
      <c r="E68" s="1">
        <v>7.96</v>
      </c>
      <c r="F68" s="2">
        <v>0.75</v>
      </c>
      <c r="G68" s="1" t="s">
        <v>30</v>
      </c>
    </row>
    <row r="69" spans="1:7" x14ac:dyDescent="0.2">
      <c r="A69" t="s">
        <v>54</v>
      </c>
      <c r="B69" s="5" t="s">
        <v>4</v>
      </c>
      <c r="C69" s="5" t="s">
        <v>12</v>
      </c>
      <c r="D69" s="3">
        <v>5.7099999999999998E-2</v>
      </c>
      <c r="E69" s="1">
        <v>1.5</v>
      </c>
      <c r="F69" s="2">
        <v>0</v>
      </c>
      <c r="G69" s="1" t="s">
        <v>32</v>
      </c>
    </row>
    <row r="70" spans="1:7" x14ac:dyDescent="0.2">
      <c r="A70" t="s">
        <v>54</v>
      </c>
      <c r="B70" s="5" t="s">
        <v>4</v>
      </c>
      <c r="C70" s="5" t="s">
        <v>13</v>
      </c>
      <c r="D70" s="3">
        <v>5.5399999999999998E-2</v>
      </c>
      <c r="E70" s="1">
        <v>3</v>
      </c>
      <c r="F70" s="2">
        <v>0</v>
      </c>
      <c r="G70" s="1" t="s">
        <v>31</v>
      </c>
    </row>
    <row r="71" spans="1:7" x14ac:dyDescent="0.2">
      <c r="A71" t="s">
        <v>54</v>
      </c>
      <c r="B71" s="5" t="s">
        <v>14</v>
      </c>
      <c r="C71" s="5" t="s">
        <v>15</v>
      </c>
      <c r="D71" s="3">
        <v>0.44440000000000002</v>
      </c>
      <c r="E71" s="1">
        <v>9.41</v>
      </c>
      <c r="F71" s="2">
        <v>1</v>
      </c>
      <c r="G71" s="1" t="s">
        <v>32</v>
      </c>
    </row>
    <row r="72" spans="1:7" x14ac:dyDescent="0.2">
      <c r="A72" t="s">
        <v>54</v>
      </c>
      <c r="B72" s="5" t="s">
        <v>14</v>
      </c>
      <c r="C72" s="5" t="s">
        <v>16</v>
      </c>
      <c r="D72" s="3">
        <v>0.31659999999999999</v>
      </c>
      <c r="E72" s="1">
        <v>5.93</v>
      </c>
      <c r="F72" s="2">
        <v>0.35</v>
      </c>
      <c r="G72" s="1" t="s">
        <v>31</v>
      </c>
    </row>
    <row r="73" spans="1:7" x14ac:dyDescent="0.2">
      <c r="A73" t="s">
        <v>54</v>
      </c>
      <c r="B73" s="5" t="s">
        <v>14</v>
      </c>
      <c r="C73" s="5" t="s">
        <v>17</v>
      </c>
      <c r="D73" s="3">
        <v>0.23899999999999999</v>
      </c>
      <c r="E73" s="1">
        <v>10</v>
      </c>
      <c r="F73" s="2">
        <v>1</v>
      </c>
      <c r="G73" s="1" t="s">
        <v>32</v>
      </c>
    </row>
    <row r="74" spans="1:7" x14ac:dyDescent="0.2">
      <c r="A74" t="s">
        <v>54</v>
      </c>
      <c r="B74" s="5" t="s">
        <v>18</v>
      </c>
      <c r="C74" s="5" t="s">
        <v>19</v>
      </c>
      <c r="D74" s="2">
        <v>0.35</v>
      </c>
      <c r="E74" s="1">
        <v>5.97</v>
      </c>
      <c r="F74" s="2">
        <v>1</v>
      </c>
      <c r="G74" s="1" t="s">
        <v>33</v>
      </c>
    </row>
    <row r="75" spans="1:7" x14ac:dyDescent="0.2">
      <c r="A75" t="s">
        <v>54</v>
      </c>
      <c r="B75" s="5" t="s">
        <v>18</v>
      </c>
      <c r="C75" s="5" t="s">
        <v>20</v>
      </c>
      <c r="D75" s="3">
        <v>0.24940000000000001</v>
      </c>
      <c r="E75" s="1">
        <v>8.1300000000000008</v>
      </c>
      <c r="F75" s="2">
        <v>1</v>
      </c>
      <c r="G75" s="1" t="s">
        <v>34</v>
      </c>
    </row>
    <row r="76" spans="1:7" x14ac:dyDescent="0.2">
      <c r="A76" t="s">
        <v>54</v>
      </c>
      <c r="B76" s="5" t="s">
        <v>18</v>
      </c>
      <c r="C76" s="5" t="s">
        <v>21</v>
      </c>
      <c r="D76" s="3">
        <v>0.24940000000000001</v>
      </c>
      <c r="E76" s="1">
        <v>3.19</v>
      </c>
      <c r="F76" s="2">
        <v>0.93</v>
      </c>
      <c r="G76" s="1" t="s">
        <v>34</v>
      </c>
    </row>
    <row r="77" spans="1:7" x14ac:dyDescent="0.2">
      <c r="A77" t="s">
        <v>54</v>
      </c>
      <c r="B77" s="5" t="s">
        <v>18</v>
      </c>
      <c r="C77" s="5" t="s">
        <v>22</v>
      </c>
      <c r="D77" s="3">
        <v>0.1512</v>
      </c>
      <c r="E77" s="1">
        <v>9.7899999999999991</v>
      </c>
      <c r="F77" s="2">
        <v>1</v>
      </c>
      <c r="G77" s="1" t="s">
        <v>34</v>
      </c>
    </row>
    <row r="78" spans="1:7" x14ac:dyDescent="0.2">
      <c r="A78" t="s">
        <v>55</v>
      </c>
      <c r="B78" s="5" t="s">
        <v>63</v>
      </c>
      <c r="C78" s="5" t="s">
        <v>4</v>
      </c>
      <c r="D78" s="2">
        <v>0.5</v>
      </c>
      <c r="E78" s="1">
        <v>5.64</v>
      </c>
      <c r="F78" s="2">
        <v>0.69</v>
      </c>
      <c r="G78" s="1" t="s">
        <v>31</v>
      </c>
    </row>
    <row r="79" spans="1:7" x14ac:dyDescent="0.2">
      <c r="A79" t="s">
        <v>55</v>
      </c>
      <c r="B79" s="5" t="s">
        <v>63</v>
      </c>
      <c r="C79" s="5" t="s">
        <v>14</v>
      </c>
      <c r="D79" s="3">
        <v>0.125</v>
      </c>
      <c r="E79" s="1">
        <v>2.44</v>
      </c>
      <c r="F79" s="2">
        <v>0.14000000000000001</v>
      </c>
      <c r="G79" s="1" t="s">
        <v>32</v>
      </c>
    </row>
    <row r="80" spans="1:7" x14ac:dyDescent="0.2">
      <c r="A80" t="s">
        <v>55</v>
      </c>
      <c r="B80" s="5" t="s">
        <v>63</v>
      </c>
      <c r="C80" s="5" t="s">
        <v>18</v>
      </c>
      <c r="D80" s="3">
        <v>0.375</v>
      </c>
      <c r="E80" s="1">
        <v>3.8</v>
      </c>
      <c r="F80" s="2">
        <v>0.66</v>
      </c>
      <c r="G80" s="1" t="s">
        <v>34</v>
      </c>
    </row>
    <row r="81" spans="1:7" x14ac:dyDescent="0.2">
      <c r="A81" t="s">
        <v>55</v>
      </c>
      <c r="B81" s="5" t="s">
        <v>4</v>
      </c>
      <c r="C81" s="5" t="s">
        <v>5</v>
      </c>
      <c r="D81" s="3">
        <v>0.1963</v>
      </c>
      <c r="E81" s="1">
        <v>6.83</v>
      </c>
      <c r="F81" s="2">
        <v>1</v>
      </c>
      <c r="G81" s="1" t="s">
        <v>31</v>
      </c>
    </row>
    <row r="82" spans="1:7" x14ac:dyDescent="0.2">
      <c r="A82" t="s">
        <v>55</v>
      </c>
      <c r="B82" s="5" t="s">
        <v>4</v>
      </c>
      <c r="C82" s="5" t="s">
        <v>6</v>
      </c>
      <c r="D82" s="3">
        <v>0.1963</v>
      </c>
      <c r="E82" s="1">
        <v>6.58</v>
      </c>
      <c r="F82" s="1">
        <v>100</v>
      </c>
      <c r="G82" s="1" t="s">
        <v>32</v>
      </c>
    </row>
    <row r="83" spans="1:7" x14ac:dyDescent="0.2">
      <c r="A83" t="s">
        <v>55</v>
      </c>
      <c r="B83" s="5" t="s">
        <v>4</v>
      </c>
      <c r="C83" s="5" t="s">
        <v>7</v>
      </c>
      <c r="D83" s="3">
        <v>0.1963</v>
      </c>
      <c r="E83" s="1">
        <v>3</v>
      </c>
      <c r="F83" s="1">
        <v>0</v>
      </c>
      <c r="G83" s="1" t="s">
        <v>32</v>
      </c>
    </row>
    <row r="84" spans="1:7" x14ac:dyDescent="0.2">
      <c r="A84" t="s">
        <v>55</v>
      </c>
      <c r="B84" s="5" t="s">
        <v>4</v>
      </c>
      <c r="C84" s="5" t="s">
        <v>8</v>
      </c>
      <c r="D84" s="3">
        <v>8.48E-2</v>
      </c>
      <c r="E84" s="1">
        <v>6.41</v>
      </c>
      <c r="F84" s="2">
        <v>0.75</v>
      </c>
      <c r="G84" s="1" t="s">
        <v>30</v>
      </c>
    </row>
    <row r="85" spans="1:7" x14ac:dyDescent="0.2">
      <c r="A85" t="s">
        <v>55</v>
      </c>
      <c r="B85" s="5" t="s">
        <v>4</v>
      </c>
      <c r="C85" s="5" t="s">
        <v>9</v>
      </c>
      <c r="D85" s="3">
        <v>8.48E-2</v>
      </c>
      <c r="E85" s="1">
        <v>9.1999999999999993</v>
      </c>
      <c r="F85" s="2">
        <v>1</v>
      </c>
      <c r="G85" s="1" t="s">
        <v>30</v>
      </c>
    </row>
    <row r="86" spans="1:7" x14ac:dyDescent="0.2">
      <c r="A86" t="s">
        <v>55</v>
      </c>
      <c r="B86" s="5" t="s">
        <v>4</v>
      </c>
      <c r="C86" s="5" t="s">
        <v>10</v>
      </c>
      <c r="D86" s="3">
        <v>6.4600000000000005E-2</v>
      </c>
      <c r="E86" s="1">
        <v>6.39</v>
      </c>
      <c r="F86" s="2">
        <v>0.5</v>
      </c>
      <c r="G86" s="1" t="s">
        <v>31</v>
      </c>
    </row>
    <row r="87" spans="1:7" x14ac:dyDescent="0.2">
      <c r="A87" t="s">
        <v>55</v>
      </c>
      <c r="B87" s="5" t="s">
        <v>4</v>
      </c>
      <c r="C87" s="5" t="s">
        <v>11</v>
      </c>
      <c r="D87" s="3">
        <v>6.4600000000000005E-2</v>
      </c>
      <c r="E87" s="1">
        <v>6.41</v>
      </c>
      <c r="F87" s="2">
        <v>0.25</v>
      </c>
      <c r="G87" s="1" t="s">
        <v>30</v>
      </c>
    </row>
    <row r="88" spans="1:7" x14ac:dyDescent="0.2">
      <c r="A88" t="s">
        <v>55</v>
      </c>
      <c r="B88" s="5" t="s">
        <v>4</v>
      </c>
      <c r="C88" s="5" t="s">
        <v>12</v>
      </c>
      <c r="D88" s="3">
        <v>5.7099999999999998E-2</v>
      </c>
      <c r="E88" s="1">
        <v>1.5</v>
      </c>
      <c r="F88" s="2">
        <v>0</v>
      </c>
      <c r="G88" s="1" t="s">
        <v>32</v>
      </c>
    </row>
    <row r="89" spans="1:7" x14ac:dyDescent="0.2">
      <c r="A89" t="s">
        <v>55</v>
      </c>
      <c r="B89" s="5" t="s">
        <v>4</v>
      </c>
      <c r="C89" s="5" t="s">
        <v>13</v>
      </c>
      <c r="D89" s="3">
        <v>5.5399999999999998E-2</v>
      </c>
      <c r="E89" s="1">
        <v>6.47</v>
      </c>
      <c r="F89" s="2">
        <v>1</v>
      </c>
      <c r="G89" s="1" t="s">
        <v>31</v>
      </c>
    </row>
    <row r="90" spans="1:7" x14ac:dyDescent="0.2">
      <c r="A90" t="s">
        <v>55</v>
      </c>
      <c r="B90" s="5" t="s">
        <v>14</v>
      </c>
      <c r="C90" s="5" t="s">
        <v>15</v>
      </c>
      <c r="D90" s="3">
        <v>0.44440000000000002</v>
      </c>
      <c r="E90" s="1">
        <v>1</v>
      </c>
      <c r="F90" s="2">
        <v>0</v>
      </c>
      <c r="G90" s="1" t="s">
        <v>32</v>
      </c>
    </row>
    <row r="91" spans="1:7" x14ac:dyDescent="0.2">
      <c r="A91" t="s">
        <v>55</v>
      </c>
      <c r="B91" s="5" t="s">
        <v>14</v>
      </c>
      <c r="C91" s="5" t="s">
        <v>16</v>
      </c>
      <c r="D91" s="3">
        <v>0.31659999999999999</v>
      </c>
      <c r="E91" s="1">
        <v>4.57</v>
      </c>
      <c r="F91" s="2">
        <v>0.32</v>
      </c>
      <c r="G91" s="1" t="s">
        <v>31</v>
      </c>
    </row>
    <row r="92" spans="1:7" x14ac:dyDescent="0.2">
      <c r="A92" t="s">
        <v>55</v>
      </c>
      <c r="B92" s="5" t="s">
        <v>14</v>
      </c>
      <c r="C92" s="5" t="s">
        <v>17</v>
      </c>
      <c r="D92" s="3">
        <v>0.23899999999999999</v>
      </c>
      <c r="E92" s="1">
        <v>3</v>
      </c>
      <c r="F92" s="2">
        <v>0</v>
      </c>
      <c r="G92" s="1" t="s">
        <v>32</v>
      </c>
    </row>
    <row r="93" spans="1:7" x14ac:dyDescent="0.2">
      <c r="A93" t="s">
        <v>55</v>
      </c>
      <c r="B93" s="5" t="s">
        <v>18</v>
      </c>
      <c r="C93" s="5" t="s">
        <v>19</v>
      </c>
      <c r="D93" s="2">
        <v>0.35</v>
      </c>
      <c r="E93" s="1">
        <v>1.25</v>
      </c>
      <c r="F93" s="2">
        <v>0.28000000000000003</v>
      </c>
      <c r="G93" s="1" t="s">
        <v>33</v>
      </c>
    </row>
    <row r="94" spans="1:7" x14ac:dyDescent="0.2">
      <c r="A94" t="s">
        <v>55</v>
      </c>
      <c r="B94" s="5" t="s">
        <v>18</v>
      </c>
      <c r="C94" s="5" t="s">
        <v>20</v>
      </c>
      <c r="D94" s="3">
        <v>0.24940000000000001</v>
      </c>
      <c r="E94" s="1">
        <v>7.17</v>
      </c>
      <c r="F94" s="2">
        <v>1</v>
      </c>
      <c r="G94" s="1" t="s">
        <v>34</v>
      </c>
    </row>
    <row r="95" spans="1:7" x14ac:dyDescent="0.2">
      <c r="A95" t="s">
        <v>55</v>
      </c>
      <c r="B95" s="5" t="s">
        <v>18</v>
      </c>
      <c r="C95" s="5" t="s">
        <v>21</v>
      </c>
      <c r="D95" s="3">
        <v>0.24940000000000001</v>
      </c>
      <c r="E95" s="1">
        <v>6.21</v>
      </c>
      <c r="F95" s="2">
        <v>0.87</v>
      </c>
      <c r="G95" s="1" t="s">
        <v>34</v>
      </c>
    </row>
    <row r="96" spans="1:7" x14ac:dyDescent="0.2">
      <c r="A96" t="s">
        <v>55</v>
      </c>
      <c r="B96" s="5" t="s">
        <v>18</v>
      </c>
      <c r="C96" s="5" t="s">
        <v>22</v>
      </c>
      <c r="D96" s="3">
        <v>0.1512</v>
      </c>
      <c r="E96" s="1"/>
      <c r="F96" s="2"/>
      <c r="G96" s="1" t="s">
        <v>34</v>
      </c>
    </row>
    <row r="97" spans="1:7" x14ac:dyDescent="0.2">
      <c r="A97" t="s">
        <v>56</v>
      </c>
      <c r="B97" s="5" t="s">
        <v>63</v>
      </c>
      <c r="C97" s="5" t="s">
        <v>4</v>
      </c>
      <c r="D97" s="2">
        <v>0.5</v>
      </c>
      <c r="E97" s="1">
        <v>5.25</v>
      </c>
      <c r="F97" s="2">
        <v>0.69</v>
      </c>
      <c r="G97" s="1" t="s">
        <v>31</v>
      </c>
    </row>
    <row r="98" spans="1:7" x14ac:dyDescent="0.2">
      <c r="A98" t="s">
        <v>56</v>
      </c>
      <c r="B98" s="5" t="s">
        <v>63</v>
      </c>
      <c r="C98" s="5" t="s">
        <v>14</v>
      </c>
      <c r="D98" s="3">
        <v>0.125</v>
      </c>
      <c r="E98" s="1">
        <v>7.11</v>
      </c>
      <c r="F98" s="2">
        <v>0.6</v>
      </c>
      <c r="G98" s="1" t="s">
        <v>32</v>
      </c>
    </row>
    <row r="99" spans="1:7" x14ac:dyDescent="0.2">
      <c r="A99" t="s">
        <v>56</v>
      </c>
      <c r="B99" s="5" t="s">
        <v>63</v>
      </c>
      <c r="C99" s="5" t="s">
        <v>18</v>
      </c>
      <c r="D99" s="3">
        <v>0.375</v>
      </c>
      <c r="E99" s="1">
        <v>7.72</v>
      </c>
      <c r="F99" s="2">
        <v>1</v>
      </c>
      <c r="G99" s="1" t="s">
        <v>34</v>
      </c>
    </row>
    <row r="100" spans="1:7" x14ac:dyDescent="0.2">
      <c r="A100" t="s">
        <v>56</v>
      </c>
      <c r="B100" s="5" t="s">
        <v>4</v>
      </c>
      <c r="C100" s="5" t="s">
        <v>5</v>
      </c>
      <c r="D100" s="3">
        <v>0.1963</v>
      </c>
      <c r="E100" s="1">
        <v>6.88</v>
      </c>
      <c r="F100" s="2">
        <v>1</v>
      </c>
      <c r="G100" s="1" t="s">
        <v>31</v>
      </c>
    </row>
    <row r="101" spans="1:7" x14ac:dyDescent="0.2">
      <c r="A101" t="s">
        <v>56</v>
      </c>
      <c r="B101" s="5" t="s">
        <v>4</v>
      </c>
      <c r="C101" s="5" t="s">
        <v>6</v>
      </c>
      <c r="D101" s="3">
        <v>0.1963</v>
      </c>
      <c r="E101" s="1">
        <v>7.54</v>
      </c>
      <c r="F101" s="1">
        <v>75</v>
      </c>
      <c r="G101" s="1" t="s">
        <v>32</v>
      </c>
    </row>
    <row r="102" spans="1:7" x14ac:dyDescent="0.2">
      <c r="A102" t="s">
        <v>56</v>
      </c>
      <c r="B102" s="5" t="s">
        <v>4</v>
      </c>
      <c r="C102" s="5" t="s">
        <v>7</v>
      </c>
      <c r="D102" s="3">
        <v>0.1963</v>
      </c>
      <c r="E102" s="1">
        <v>3</v>
      </c>
      <c r="F102" s="1">
        <v>0</v>
      </c>
      <c r="G102" s="1" t="s">
        <v>32</v>
      </c>
    </row>
    <row r="103" spans="1:7" x14ac:dyDescent="0.2">
      <c r="A103" t="s">
        <v>56</v>
      </c>
      <c r="B103" s="5" t="s">
        <v>4</v>
      </c>
      <c r="C103" s="5" t="s">
        <v>8</v>
      </c>
      <c r="D103" s="3">
        <v>8.48E-2</v>
      </c>
      <c r="E103" s="1">
        <v>4.3499999999999996</v>
      </c>
      <c r="F103" s="2">
        <v>0.5</v>
      </c>
      <c r="G103" s="1" t="s">
        <v>30</v>
      </c>
    </row>
    <row r="104" spans="1:7" x14ac:dyDescent="0.2">
      <c r="A104" t="s">
        <v>56</v>
      </c>
      <c r="B104" s="5" t="s">
        <v>4</v>
      </c>
      <c r="C104" s="5" t="s">
        <v>9</v>
      </c>
      <c r="D104" s="3">
        <v>8.48E-2</v>
      </c>
      <c r="E104" s="1">
        <v>7.98</v>
      </c>
      <c r="F104" s="2">
        <v>1</v>
      </c>
      <c r="G104" s="1" t="s">
        <v>30</v>
      </c>
    </row>
    <row r="105" spans="1:7" x14ac:dyDescent="0.2">
      <c r="A105" t="s">
        <v>56</v>
      </c>
      <c r="B105" s="5" t="s">
        <v>4</v>
      </c>
      <c r="C105" s="5" t="s">
        <v>10</v>
      </c>
      <c r="D105" s="3">
        <v>6.4600000000000005E-2</v>
      </c>
      <c r="E105" s="1">
        <v>0</v>
      </c>
      <c r="F105" s="2">
        <v>0</v>
      </c>
      <c r="G105" s="1" t="s">
        <v>31</v>
      </c>
    </row>
    <row r="106" spans="1:7" x14ac:dyDescent="0.2">
      <c r="A106" t="s">
        <v>56</v>
      </c>
      <c r="B106" s="5" t="s">
        <v>4</v>
      </c>
      <c r="C106" s="5" t="s">
        <v>11</v>
      </c>
      <c r="D106" s="3">
        <v>6.4600000000000005E-2</v>
      </c>
      <c r="E106" s="1">
        <v>6.14</v>
      </c>
      <c r="F106" s="2">
        <v>0.5</v>
      </c>
      <c r="G106" s="1" t="s">
        <v>30</v>
      </c>
    </row>
    <row r="107" spans="1:7" x14ac:dyDescent="0.2">
      <c r="A107" t="s">
        <v>56</v>
      </c>
      <c r="B107" s="5" t="s">
        <v>4</v>
      </c>
      <c r="C107" s="5" t="s">
        <v>12</v>
      </c>
      <c r="D107" s="3">
        <v>5.7099999999999998E-2</v>
      </c>
      <c r="E107" s="1">
        <v>0.56000000000000005</v>
      </c>
      <c r="F107" s="2">
        <v>1</v>
      </c>
      <c r="G107" s="1" t="s">
        <v>32</v>
      </c>
    </row>
    <row r="108" spans="1:7" x14ac:dyDescent="0.2">
      <c r="A108" t="s">
        <v>56</v>
      </c>
      <c r="B108" s="5" t="s">
        <v>4</v>
      </c>
      <c r="C108" s="5" t="s">
        <v>13</v>
      </c>
      <c r="D108" s="3">
        <v>5.5399999999999998E-2</v>
      </c>
      <c r="E108" s="1">
        <v>3</v>
      </c>
      <c r="F108" s="2">
        <v>0</v>
      </c>
      <c r="G108" s="1" t="s">
        <v>31</v>
      </c>
    </row>
    <row r="109" spans="1:7" x14ac:dyDescent="0.2">
      <c r="A109" t="s">
        <v>56</v>
      </c>
      <c r="B109" s="5" t="s">
        <v>14</v>
      </c>
      <c r="C109" s="5" t="s">
        <v>15</v>
      </c>
      <c r="D109" s="3">
        <v>0.44440000000000002</v>
      </c>
      <c r="E109" s="1">
        <v>6.05</v>
      </c>
      <c r="F109" s="2">
        <v>0.36</v>
      </c>
      <c r="G109" s="1" t="s">
        <v>32</v>
      </c>
    </row>
    <row r="110" spans="1:7" x14ac:dyDescent="0.2">
      <c r="A110" t="s">
        <v>56</v>
      </c>
      <c r="B110" s="5" t="s">
        <v>14</v>
      </c>
      <c r="C110" s="5" t="s">
        <v>16</v>
      </c>
      <c r="D110" s="3">
        <v>0.31659999999999999</v>
      </c>
      <c r="E110" s="1">
        <v>6.64</v>
      </c>
      <c r="F110" s="2">
        <v>0.52</v>
      </c>
      <c r="G110" s="1" t="s">
        <v>31</v>
      </c>
    </row>
    <row r="111" spans="1:7" x14ac:dyDescent="0.2">
      <c r="A111" t="s">
        <v>56</v>
      </c>
      <c r="B111" s="5" t="s">
        <v>14</v>
      </c>
      <c r="C111" s="5" t="s">
        <v>17</v>
      </c>
      <c r="D111" s="3">
        <v>0.23899999999999999</v>
      </c>
      <c r="E111" s="1">
        <v>10</v>
      </c>
      <c r="F111" s="2">
        <v>1</v>
      </c>
      <c r="G111" s="1" t="s">
        <v>32</v>
      </c>
    </row>
    <row r="112" spans="1:7" x14ac:dyDescent="0.2">
      <c r="A112" t="s">
        <v>56</v>
      </c>
      <c r="B112" s="5" t="s">
        <v>18</v>
      </c>
      <c r="C112" s="5" t="s">
        <v>19</v>
      </c>
      <c r="D112" s="2">
        <v>0.35</v>
      </c>
      <c r="E112" s="1">
        <v>7.47</v>
      </c>
      <c r="F112" s="2">
        <v>1</v>
      </c>
      <c r="G112" s="1" t="s">
        <v>33</v>
      </c>
    </row>
    <row r="113" spans="1:7" x14ac:dyDescent="0.2">
      <c r="A113" t="s">
        <v>56</v>
      </c>
      <c r="B113" s="5" t="s">
        <v>18</v>
      </c>
      <c r="C113" s="5" t="s">
        <v>20</v>
      </c>
      <c r="D113" s="3">
        <v>0.24940000000000001</v>
      </c>
      <c r="E113" s="1">
        <v>8.08</v>
      </c>
      <c r="F113" s="2">
        <v>1</v>
      </c>
      <c r="G113" s="1" t="s">
        <v>34</v>
      </c>
    </row>
    <row r="114" spans="1:7" x14ac:dyDescent="0.2">
      <c r="A114" t="s">
        <v>56</v>
      </c>
      <c r="B114" s="5" t="s">
        <v>18</v>
      </c>
      <c r="C114" s="5" t="s">
        <v>21</v>
      </c>
      <c r="D114" s="3">
        <v>0.24940000000000001</v>
      </c>
      <c r="E114" s="1">
        <v>7.7</v>
      </c>
      <c r="F114" s="2">
        <v>1</v>
      </c>
      <c r="G114" s="1" t="s">
        <v>34</v>
      </c>
    </row>
    <row r="115" spans="1:7" x14ac:dyDescent="0.2">
      <c r="A115" t="s">
        <v>56</v>
      </c>
      <c r="B115" s="5" t="s">
        <v>18</v>
      </c>
      <c r="C115" s="5" t="s">
        <v>22</v>
      </c>
      <c r="D115" s="3">
        <v>0.1512</v>
      </c>
      <c r="E115" s="1"/>
      <c r="F115" s="2"/>
      <c r="G115" s="1" t="s">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SW</vt:lpstr>
      <vt:lpstr>PKG</vt:lpstr>
      <vt:lpstr>IP</vt:lpstr>
      <vt:lpstr>GPI</vt:lpstr>
      <vt:lpstr>SK</vt:lpstr>
      <vt:lpstr>WK</vt:lpstr>
      <vt:lpstr>Market Cap</vt:lpstr>
      <vt:lpstr>SW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Emilio Ledesma Silva</dc:creator>
  <cp:lastModifiedBy>Emilio Ledesma Silva</cp:lastModifiedBy>
  <dcterms:created xsi:type="dcterms:W3CDTF">2026-04-30T04:28:45Z</dcterms:created>
  <dcterms:modified xsi:type="dcterms:W3CDTF">2026-04-30T16:15:26Z</dcterms:modified>
</cp:coreProperties>
</file>